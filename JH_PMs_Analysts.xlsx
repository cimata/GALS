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y\Downloads\"/>
    </mc:Choice>
  </mc:AlternateContent>
  <xr:revisionPtr revIDLastSave="0" documentId="13_ncr:1_{6650763E-9DFB-4D2F-8AD6-03C32D88C80F}" xr6:coauthVersionLast="47" xr6:coauthVersionMax="47" xr10:uidLastSave="{00000000-0000-0000-0000-000000000000}"/>
  <bookViews>
    <workbookView xWindow="-108" yWindow="-108" windowWidth="23256" windowHeight="12456" xr2:uid="{3BDE2A4E-E2D3-42B1-9809-95C33460435D}"/>
  </bookViews>
  <sheets>
    <sheet name="Directorio" sheetId="13" r:id="rId1"/>
    <sheet name="JHers" sheetId="9" r:id="rId2"/>
    <sheet name="JH_Lote7" sheetId="8" state="hidden" r:id="rId3"/>
    <sheet name="JH_Lote6" sheetId="7" state="hidden" r:id="rId4"/>
    <sheet name="JH_Lote5" sheetId="6" state="hidden" r:id="rId5"/>
    <sheet name="JH_lote4" sheetId="5" state="hidden" r:id="rId6"/>
    <sheet name="JH_lote3" sheetId="4" state="hidden" r:id="rId7"/>
    <sheet name="JH_lote2" sheetId="3" state="hidden" r:id="rId8"/>
    <sheet name="JH_Lote1" sheetId="2" state="hidden" r:id="rId9"/>
  </sheets>
  <definedNames>
    <definedName name="DatosExternos_1" localSheetId="8" hidden="1">JH_Lote1!$A$1:$K$14</definedName>
    <definedName name="DatosExternos_1" localSheetId="1" hidden="1">JHers!$A$1:$K$132</definedName>
    <definedName name="DatosExternos_2" localSheetId="7" hidden="1">JH_lote2!$A$1:$K$16</definedName>
    <definedName name="DatosExternos_3" localSheetId="6" hidden="1">JH_lote3!$A$1:$K$12</definedName>
    <definedName name="DatosExternos_4" localSheetId="5" hidden="1">JH_lote4!$A$1:$K$12</definedName>
    <definedName name="DatosExternos_5" localSheetId="4" hidden="1">JH_Lote5!$A$1:$K$28</definedName>
    <definedName name="DatosExternos_6" localSheetId="3" hidden="1">JH_Lote6!$A$1:$K$36</definedName>
    <definedName name="DatosExternos_7" localSheetId="2" hidden="1">JH_Lote7!$A$1:$K$26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50" i="13" l="1"/>
  <c r="B150" i="13"/>
  <c r="C150" i="13"/>
  <c r="D150" i="13"/>
  <c r="E150" i="13"/>
  <c r="F150" i="13"/>
  <c r="G150" i="13"/>
  <c r="H150" i="13"/>
  <c r="I150" i="13"/>
  <c r="J150" i="13"/>
  <c r="K150" i="13"/>
  <c r="A151" i="13"/>
  <c r="B151" i="13"/>
  <c r="C151" i="13"/>
  <c r="D151" i="13"/>
  <c r="E151" i="13"/>
  <c r="F151" i="13"/>
  <c r="G151" i="13"/>
  <c r="H151" i="13"/>
  <c r="I151" i="13"/>
  <c r="J151" i="13"/>
  <c r="K151" i="13"/>
  <c r="A152" i="13"/>
  <c r="B152" i="13"/>
  <c r="C152" i="13"/>
  <c r="D152" i="13"/>
  <c r="E152" i="13"/>
  <c r="F152" i="13"/>
  <c r="G152" i="13"/>
  <c r="H152" i="13"/>
  <c r="I152" i="13"/>
  <c r="J152" i="13"/>
  <c r="K152" i="13"/>
  <c r="A153" i="13"/>
  <c r="B153" i="13"/>
  <c r="C153" i="13"/>
  <c r="D153" i="13"/>
  <c r="E153" i="13"/>
  <c r="F153" i="13"/>
  <c r="G153" i="13"/>
  <c r="H153" i="13"/>
  <c r="I153" i="13"/>
  <c r="J153" i="13"/>
  <c r="K153" i="13"/>
  <c r="A154" i="13"/>
  <c r="B154" i="13"/>
  <c r="C154" i="13"/>
  <c r="D154" i="13"/>
  <c r="E154" i="13"/>
  <c r="F154" i="13"/>
  <c r="G154" i="13"/>
  <c r="H154" i="13"/>
  <c r="I154" i="13"/>
  <c r="J154" i="13"/>
  <c r="K154" i="13"/>
  <c r="A155" i="13"/>
  <c r="B155" i="13"/>
  <c r="C155" i="13"/>
  <c r="D155" i="13"/>
  <c r="E155" i="13"/>
  <c r="F155" i="13"/>
  <c r="G155" i="13"/>
  <c r="H155" i="13"/>
  <c r="I155" i="13"/>
  <c r="J155" i="13"/>
  <c r="K155" i="13"/>
  <c r="A156" i="13"/>
  <c r="B156" i="13"/>
  <c r="C156" i="13"/>
  <c r="D156" i="13"/>
  <c r="E156" i="13"/>
  <c r="F156" i="13"/>
  <c r="G156" i="13"/>
  <c r="H156" i="13"/>
  <c r="I156" i="13"/>
  <c r="J156" i="13"/>
  <c r="K156" i="13"/>
  <c r="A157" i="13"/>
  <c r="B157" i="13"/>
  <c r="C157" i="13"/>
  <c r="D157" i="13"/>
  <c r="E157" i="13"/>
  <c r="F157" i="13"/>
  <c r="G157" i="13"/>
  <c r="H157" i="13"/>
  <c r="I157" i="13"/>
  <c r="J157" i="13"/>
  <c r="K157" i="13"/>
  <c r="A158" i="13"/>
  <c r="B158" i="13"/>
  <c r="C158" i="13"/>
  <c r="D158" i="13"/>
  <c r="E158" i="13"/>
  <c r="F158" i="13"/>
  <c r="G158" i="13"/>
  <c r="H158" i="13"/>
  <c r="I158" i="13"/>
  <c r="J158" i="13"/>
  <c r="K158" i="13"/>
  <c r="A159" i="13"/>
  <c r="B159" i="13"/>
  <c r="C159" i="13"/>
  <c r="D159" i="13"/>
  <c r="E159" i="13"/>
  <c r="F159" i="13"/>
  <c r="G159" i="13"/>
  <c r="H159" i="13"/>
  <c r="I159" i="13"/>
  <c r="J159" i="13"/>
  <c r="K159" i="13"/>
  <c r="A160" i="13"/>
  <c r="B160" i="13"/>
  <c r="C160" i="13"/>
  <c r="D160" i="13"/>
  <c r="E160" i="13"/>
  <c r="F160" i="13"/>
  <c r="G160" i="13"/>
  <c r="H160" i="13"/>
  <c r="I160" i="13"/>
  <c r="J160" i="13"/>
  <c r="K160" i="13"/>
  <c r="A161" i="13"/>
  <c r="B161" i="13"/>
  <c r="C161" i="13"/>
  <c r="D161" i="13"/>
  <c r="E161" i="13"/>
  <c r="F161" i="13"/>
  <c r="G161" i="13"/>
  <c r="H161" i="13"/>
  <c r="I161" i="13"/>
  <c r="J161" i="13"/>
  <c r="K161" i="13"/>
  <c r="A162" i="13"/>
  <c r="B162" i="13"/>
  <c r="C162" i="13"/>
  <c r="D162" i="13"/>
  <c r="E162" i="13"/>
  <c r="F162" i="13"/>
  <c r="G162" i="13"/>
  <c r="H162" i="13"/>
  <c r="I162" i="13"/>
  <c r="J162" i="13"/>
  <c r="K162" i="13"/>
  <c r="A163" i="13"/>
  <c r="B163" i="13"/>
  <c r="C163" i="13"/>
  <c r="D163" i="13"/>
  <c r="E163" i="13"/>
  <c r="F163" i="13"/>
  <c r="G163" i="13"/>
  <c r="H163" i="13"/>
  <c r="I163" i="13"/>
  <c r="J163" i="13"/>
  <c r="K163" i="13"/>
  <c r="A164" i="13"/>
  <c r="B164" i="13"/>
  <c r="C164" i="13"/>
  <c r="D164" i="13"/>
  <c r="E164" i="13"/>
  <c r="F164" i="13"/>
  <c r="G164" i="13"/>
  <c r="H164" i="13"/>
  <c r="I164" i="13"/>
  <c r="J164" i="13"/>
  <c r="K164" i="13"/>
  <c r="A165" i="13"/>
  <c r="B165" i="13"/>
  <c r="C165" i="13"/>
  <c r="D165" i="13"/>
  <c r="E165" i="13"/>
  <c r="F165" i="13"/>
  <c r="G165" i="13"/>
  <c r="H165" i="13"/>
  <c r="I165" i="13"/>
  <c r="J165" i="13"/>
  <c r="K165" i="13"/>
  <c r="A166" i="13"/>
  <c r="B166" i="13"/>
  <c r="C166" i="13"/>
  <c r="D166" i="13"/>
  <c r="E166" i="13"/>
  <c r="F166" i="13"/>
  <c r="G166" i="13"/>
  <c r="H166" i="13"/>
  <c r="I166" i="13"/>
  <c r="J166" i="13"/>
  <c r="K166" i="13"/>
  <c r="A167" i="13"/>
  <c r="B167" i="13"/>
  <c r="C167" i="13"/>
  <c r="D167" i="13"/>
  <c r="E167" i="13"/>
  <c r="F167" i="13"/>
  <c r="G167" i="13"/>
  <c r="H167" i="13"/>
  <c r="I167" i="13"/>
  <c r="J167" i="13"/>
  <c r="K167" i="13"/>
  <c r="A168" i="13"/>
  <c r="B168" i="13"/>
  <c r="C168" i="13"/>
  <c r="D168" i="13"/>
  <c r="E168" i="13"/>
  <c r="F168" i="13"/>
  <c r="G168" i="13"/>
  <c r="H168" i="13"/>
  <c r="I168" i="13"/>
  <c r="J168" i="13"/>
  <c r="K168" i="13"/>
  <c r="A169" i="13"/>
  <c r="B169" i="13"/>
  <c r="C169" i="13"/>
  <c r="D169" i="13"/>
  <c r="E169" i="13"/>
  <c r="F169" i="13"/>
  <c r="G169" i="13"/>
  <c r="H169" i="13"/>
  <c r="I169" i="13"/>
  <c r="J169" i="13"/>
  <c r="K169" i="13"/>
  <c r="A170" i="13"/>
  <c r="B170" i="13"/>
  <c r="C170" i="13"/>
  <c r="D170" i="13"/>
  <c r="E170" i="13"/>
  <c r="F170" i="13"/>
  <c r="G170" i="13"/>
  <c r="H170" i="13"/>
  <c r="I170" i="13"/>
  <c r="J170" i="13"/>
  <c r="K170" i="13"/>
  <c r="A171" i="13"/>
  <c r="B171" i="13"/>
  <c r="C171" i="13"/>
  <c r="D171" i="13"/>
  <c r="E171" i="13"/>
  <c r="F171" i="13"/>
  <c r="G171" i="13"/>
  <c r="H171" i="13"/>
  <c r="I171" i="13"/>
  <c r="J171" i="13"/>
  <c r="K171" i="13"/>
  <c r="A172" i="13"/>
  <c r="B172" i="13"/>
  <c r="C172" i="13"/>
  <c r="D172" i="13"/>
  <c r="E172" i="13"/>
  <c r="F172" i="13"/>
  <c r="G172" i="13"/>
  <c r="H172" i="13"/>
  <c r="I172" i="13"/>
  <c r="J172" i="13"/>
  <c r="K172" i="13"/>
  <c r="A173" i="13"/>
  <c r="B173" i="13"/>
  <c r="C173" i="13"/>
  <c r="D173" i="13"/>
  <c r="E173" i="13"/>
  <c r="F173" i="13"/>
  <c r="G173" i="13"/>
  <c r="H173" i="13"/>
  <c r="I173" i="13"/>
  <c r="J173" i="13"/>
  <c r="K173" i="13"/>
  <c r="A174" i="13"/>
  <c r="B174" i="13"/>
  <c r="C174" i="13"/>
  <c r="D174" i="13"/>
  <c r="E174" i="13"/>
  <c r="F174" i="13"/>
  <c r="G174" i="13"/>
  <c r="H174" i="13"/>
  <c r="I174" i="13"/>
  <c r="J174" i="13"/>
  <c r="K174" i="13"/>
  <c r="A175" i="13"/>
  <c r="B175" i="13"/>
  <c r="C175" i="13"/>
  <c r="D175" i="13"/>
  <c r="E175" i="13"/>
  <c r="F175" i="13"/>
  <c r="G175" i="13"/>
  <c r="H175" i="13"/>
  <c r="I175" i="13"/>
  <c r="J175" i="13"/>
  <c r="K175" i="13"/>
  <c r="A176" i="13"/>
  <c r="B176" i="13"/>
  <c r="C176" i="13"/>
  <c r="D176" i="13"/>
  <c r="E176" i="13"/>
  <c r="F176" i="13"/>
  <c r="G176" i="13"/>
  <c r="H176" i="13"/>
  <c r="I176" i="13"/>
  <c r="J176" i="13"/>
  <c r="K176" i="13"/>
  <c r="A177" i="13"/>
  <c r="B177" i="13"/>
  <c r="C177" i="13"/>
  <c r="D177" i="13"/>
  <c r="E177" i="13"/>
  <c r="F177" i="13"/>
  <c r="G177" i="13"/>
  <c r="H177" i="13"/>
  <c r="I177" i="13"/>
  <c r="J177" i="13"/>
  <c r="K177" i="13"/>
  <c r="A178" i="13"/>
  <c r="B178" i="13"/>
  <c r="C178" i="13"/>
  <c r="D178" i="13"/>
  <c r="E178" i="13"/>
  <c r="F178" i="13"/>
  <c r="G178" i="13"/>
  <c r="H178" i="13"/>
  <c r="I178" i="13"/>
  <c r="J178" i="13"/>
  <c r="K178" i="13"/>
  <c r="A179" i="13"/>
  <c r="B179" i="13"/>
  <c r="C179" i="13"/>
  <c r="D179" i="13"/>
  <c r="E179" i="13"/>
  <c r="F179" i="13"/>
  <c r="G179" i="13"/>
  <c r="H179" i="13"/>
  <c r="I179" i="13"/>
  <c r="J179" i="13"/>
  <c r="K179" i="13"/>
  <c r="A180" i="13"/>
  <c r="B180" i="13"/>
  <c r="C180" i="13"/>
  <c r="D180" i="13"/>
  <c r="E180" i="13"/>
  <c r="F180" i="13"/>
  <c r="G180" i="13"/>
  <c r="H180" i="13"/>
  <c r="I180" i="13"/>
  <c r="J180" i="13"/>
  <c r="K180" i="13"/>
  <c r="A181" i="13"/>
  <c r="B181" i="13"/>
  <c r="C181" i="13"/>
  <c r="D181" i="13"/>
  <c r="E181" i="13"/>
  <c r="F181" i="13"/>
  <c r="G181" i="13"/>
  <c r="H181" i="13"/>
  <c r="I181" i="13"/>
  <c r="J181" i="13"/>
  <c r="K181" i="13"/>
  <c r="A182" i="13"/>
  <c r="B182" i="13"/>
  <c r="C182" i="13"/>
  <c r="D182" i="13"/>
  <c r="E182" i="13"/>
  <c r="F182" i="13"/>
  <c r="G182" i="13"/>
  <c r="H182" i="13"/>
  <c r="I182" i="13"/>
  <c r="J182" i="13"/>
  <c r="K182" i="13"/>
  <c r="A183" i="13"/>
  <c r="B183" i="13"/>
  <c r="C183" i="13"/>
  <c r="D183" i="13"/>
  <c r="E183" i="13"/>
  <c r="F183" i="13"/>
  <c r="G183" i="13"/>
  <c r="H183" i="13"/>
  <c r="I183" i="13"/>
  <c r="J183" i="13"/>
  <c r="K183" i="13"/>
  <c r="A184" i="13"/>
  <c r="B184" i="13"/>
  <c r="C184" i="13"/>
  <c r="D184" i="13"/>
  <c r="E184" i="13"/>
  <c r="F184" i="13"/>
  <c r="G184" i="13"/>
  <c r="H184" i="13"/>
  <c r="I184" i="13"/>
  <c r="J184" i="13"/>
  <c r="K184" i="13"/>
  <c r="A185" i="13"/>
  <c r="B185" i="13"/>
  <c r="C185" i="13"/>
  <c r="D185" i="13"/>
  <c r="E185" i="13"/>
  <c r="F185" i="13"/>
  <c r="G185" i="13"/>
  <c r="H185" i="13"/>
  <c r="I185" i="13"/>
  <c r="J185" i="13"/>
  <c r="K185" i="13"/>
  <c r="A186" i="13"/>
  <c r="B186" i="13"/>
  <c r="C186" i="13"/>
  <c r="D186" i="13"/>
  <c r="E186" i="13"/>
  <c r="F186" i="13"/>
  <c r="G186" i="13"/>
  <c r="H186" i="13"/>
  <c r="I186" i="13"/>
  <c r="J186" i="13"/>
  <c r="K186" i="13"/>
  <c r="A187" i="13"/>
  <c r="B187" i="13"/>
  <c r="C187" i="13"/>
  <c r="D187" i="13"/>
  <c r="E187" i="13"/>
  <c r="F187" i="13"/>
  <c r="G187" i="13"/>
  <c r="H187" i="13"/>
  <c r="I187" i="13"/>
  <c r="J187" i="13"/>
  <c r="K187" i="13"/>
  <c r="A188" i="13"/>
  <c r="B188" i="13"/>
  <c r="C188" i="13"/>
  <c r="D188" i="13"/>
  <c r="E188" i="13"/>
  <c r="F188" i="13"/>
  <c r="G188" i="13"/>
  <c r="H188" i="13"/>
  <c r="I188" i="13"/>
  <c r="J188" i="13"/>
  <c r="K188" i="13"/>
  <c r="A189" i="13"/>
  <c r="B189" i="13"/>
  <c r="C189" i="13"/>
  <c r="D189" i="13"/>
  <c r="E189" i="13"/>
  <c r="F189" i="13"/>
  <c r="G189" i="13"/>
  <c r="H189" i="13"/>
  <c r="I189" i="13"/>
  <c r="J189" i="13"/>
  <c r="K189" i="13"/>
  <c r="A190" i="13"/>
  <c r="B190" i="13"/>
  <c r="C190" i="13"/>
  <c r="D190" i="13"/>
  <c r="E190" i="13"/>
  <c r="F190" i="13"/>
  <c r="G190" i="13"/>
  <c r="H190" i="13"/>
  <c r="I190" i="13"/>
  <c r="J190" i="13"/>
  <c r="K190" i="13"/>
  <c r="A191" i="13"/>
  <c r="B191" i="13"/>
  <c r="C191" i="13"/>
  <c r="D191" i="13"/>
  <c r="E191" i="13"/>
  <c r="F191" i="13"/>
  <c r="G191" i="13"/>
  <c r="H191" i="13"/>
  <c r="I191" i="13"/>
  <c r="J191" i="13"/>
  <c r="K191" i="13"/>
  <c r="A192" i="13"/>
  <c r="B192" i="13"/>
  <c r="C192" i="13"/>
  <c r="D192" i="13"/>
  <c r="E192" i="13"/>
  <c r="F192" i="13"/>
  <c r="G192" i="13"/>
  <c r="H192" i="13"/>
  <c r="I192" i="13"/>
  <c r="J192" i="13"/>
  <c r="K192" i="13"/>
  <c r="A193" i="13"/>
  <c r="B193" i="13"/>
  <c r="C193" i="13"/>
  <c r="D193" i="13"/>
  <c r="E193" i="13"/>
  <c r="F193" i="13"/>
  <c r="G193" i="13"/>
  <c r="H193" i="13"/>
  <c r="I193" i="13"/>
  <c r="J193" i="13"/>
  <c r="K193" i="13"/>
  <c r="A194" i="13"/>
  <c r="B194" i="13"/>
  <c r="C194" i="13"/>
  <c r="D194" i="13"/>
  <c r="E194" i="13"/>
  <c r="F194" i="13"/>
  <c r="G194" i="13"/>
  <c r="H194" i="13"/>
  <c r="I194" i="13"/>
  <c r="J194" i="13"/>
  <c r="K194" i="13"/>
  <c r="A195" i="13"/>
  <c r="B195" i="13"/>
  <c r="C195" i="13"/>
  <c r="D195" i="13"/>
  <c r="E195" i="13"/>
  <c r="F195" i="13"/>
  <c r="G195" i="13"/>
  <c r="H195" i="13"/>
  <c r="I195" i="13"/>
  <c r="J195" i="13"/>
  <c r="K195" i="13"/>
  <c r="A196" i="13"/>
  <c r="B196" i="13"/>
  <c r="C196" i="13"/>
  <c r="D196" i="13"/>
  <c r="E196" i="13"/>
  <c r="F196" i="13"/>
  <c r="G196" i="13"/>
  <c r="H196" i="13"/>
  <c r="I196" i="13"/>
  <c r="J196" i="13"/>
  <c r="K196" i="13"/>
  <c r="A197" i="13"/>
  <c r="B197" i="13"/>
  <c r="C197" i="13"/>
  <c r="D197" i="13"/>
  <c r="E197" i="13"/>
  <c r="F197" i="13"/>
  <c r="G197" i="13"/>
  <c r="H197" i="13"/>
  <c r="I197" i="13"/>
  <c r="J197" i="13"/>
  <c r="K197" i="13"/>
  <c r="A198" i="13"/>
  <c r="B198" i="13"/>
  <c r="C198" i="13"/>
  <c r="D198" i="13"/>
  <c r="E198" i="13"/>
  <c r="F198" i="13"/>
  <c r="G198" i="13"/>
  <c r="H198" i="13"/>
  <c r="I198" i="13"/>
  <c r="J198" i="13"/>
  <c r="K198" i="13"/>
  <c r="A199" i="13"/>
  <c r="B199" i="13"/>
  <c r="C199" i="13"/>
  <c r="D199" i="13"/>
  <c r="E199" i="13"/>
  <c r="F199" i="13"/>
  <c r="G199" i="13"/>
  <c r="H199" i="13"/>
  <c r="I199" i="13"/>
  <c r="J199" i="13"/>
  <c r="K199" i="13"/>
  <c r="A200" i="13"/>
  <c r="B200" i="13"/>
  <c r="C200" i="13"/>
  <c r="D200" i="13"/>
  <c r="E200" i="13"/>
  <c r="F200" i="13"/>
  <c r="G200" i="13"/>
  <c r="H200" i="13"/>
  <c r="I200" i="13"/>
  <c r="J200" i="13"/>
  <c r="K200" i="13"/>
  <c r="A201" i="13"/>
  <c r="B201" i="13"/>
  <c r="C201" i="13"/>
  <c r="D201" i="13"/>
  <c r="E201" i="13"/>
  <c r="F201" i="13"/>
  <c r="G201" i="13"/>
  <c r="H201" i="13"/>
  <c r="I201" i="13"/>
  <c r="J201" i="13"/>
  <c r="K201" i="13"/>
  <c r="A202" i="13"/>
  <c r="B202" i="13"/>
  <c r="C202" i="13"/>
  <c r="D202" i="13"/>
  <c r="E202" i="13"/>
  <c r="F202" i="13"/>
  <c r="G202" i="13"/>
  <c r="H202" i="13"/>
  <c r="I202" i="13"/>
  <c r="J202" i="13"/>
  <c r="K202" i="13"/>
  <c r="A203" i="13"/>
  <c r="B203" i="13"/>
  <c r="C203" i="13"/>
  <c r="D203" i="13"/>
  <c r="E203" i="13"/>
  <c r="F203" i="13"/>
  <c r="G203" i="13"/>
  <c r="H203" i="13"/>
  <c r="I203" i="13"/>
  <c r="J203" i="13"/>
  <c r="K203" i="13"/>
  <c r="A204" i="13"/>
  <c r="B204" i="13"/>
  <c r="C204" i="13"/>
  <c r="D204" i="13"/>
  <c r="E204" i="13"/>
  <c r="F204" i="13"/>
  <c r="G204" i="13"/>
  <c r="H204" i="13"/>
  <c r="I204" i="13"/>
  <c r="J204" i="13"/>
  <c r="K204" i="13"/>
  <c r="A205" i="13"/>
  <c r="B205" i="13"/>
  <c r="C205" i="13"/>
  <c r="D205" i="13"/>
  <c r="E205" i="13"/>
  <c r="F205" i="13"/>
  <c r="G205" i="13"/>
  <c r="H205" i="13"/>
  <c r="I205" i="13"/>
  <c r="J205" i="13"/>
  <c r="K205" i="13"/>
  <c r="A206" i="13"/>
  <c r="B206" i="13"/>
  <c r="C206" i="13"/>
  <c r="D206" i="13"/>
  <c r="E206" i="13"/>
  <c r="F206" i="13"/>
  <c r="G206" i="13"/>
  <c r="H206" i="13"/>
  <c r="I206" i="13"/>
  <c r="J206" i="13"/>
  <c r="K206" i="13"/>
  <c r="A207" i="13"/>
  <c r="B207" i="13"/>
  <c r="C207" i="13"/>
  <c r="D207" i="13"/>
  <c r="E207" i="13"/>
  <c r="F207" i="13"/>
  <c r="G207" i="13"/>
  <c r="H207" i="13"/>
  <c r="I207" i="13"/>
  <c r="J207" i="13"/>
  <c r="K207" i="13"/>
  <c r="A208" i="13"/>
  <c r="B208" i="13"/>
  <c r="C208" i="13"/>
  <c r="D208" i="13"/>
  <c r="E208" i="13"/>
  <c r="F208" i="13"/>
  <c r="G208" i="13"/>
  <c r="H208" i="13"/>
  <c r="I208" i="13"/>
  <c r="J208" i="13"/>
  <c r="K208" i="13"/>
  <c r="A209" i="13"/>
  <c r="B209" i="13"/>
  <c r="C209" i="13"/>
  <c r="D209" i="13"/>
  <c r="E209" i="13"/>
  <c r="F209" i="13"/>
  <c r="G209" i="13"/>
  <c r="H209" i="13"/>
  <c r="I209" i="13"/>
  <c r="J209" i="13"/>
  <c r="K209" i="13"/>
  <c r="A210" i="13"/>
  <c r="B210" i="13"/>
  <c r="C210" i="13"/>
  <c r="D210" i="13"/>
  <c r="E210" i="13"/>
  <c r="F210" i="13"/>
  <c r="G210" i="13"/>
  <c r="H210" i="13"/>
  <c r="I210" i="13"/>
  <c r="J210" i="13"/>
  <c r="K210" i="13"/>
  <c r="A211" i="13"/>
  <c r="B211" i="13"/>
  <c r="C211" i="13"/>
  <c r="D211" i="13"/>
  <c r="E211" i="13"/>
  <c r="F211" i="13"/>
  <c r="G211" i="13"/>
  <c r="H211" i="13"/>
  <c r="I211" i="13"/>
  <c r="J211" i="13"/>
  <c r="K211" i="13"/>
  <c r="A212" i="13"/>
  <c r="B212" i="13"/>
  <c r="C212" i="13"/>
  <c r="D212" i="13"/>
  <c r="E212" i="13"/>
  <c r="F212" i="13"/>
  <c r="G212" i="13"/>
  <c r="H212" i="13"/>
  <c r="I212" i="13"/>
  <c r="J212" i="13"/>
  <c r="K212" i="13"/>
  <c r="A213" i="13"/>
  <c r="B213" i="13"/>
  <c r="C213" i="13"/>
  <c r="D213" i="13"/>
  <c r="E213" i="13"/>
  <c r="F213" i="13"/>
  <c r="G213" i="13"/>
  <c r="H213" i="13"/>
  <c r="I213" i="13"/>
  <c r="J213" i="13"/>
  <c r="K213" i="13"/>
  <c r="A214" i="13"/>
  <c r="B214" i="13"/>
  <c r="C214" i="13"/>
  <c r="D214" i="13"/>
  <c r="E214" i="13"/>
  <c r="F214" i="13"/>
  <c r="G214" i="13"/>
  <c r="H214" i="13"/>
  <c r="I214" i="13"/>
  <c r="J214" i="13"/>
  <c r="K214" i="13"/>
  <c r="A215" i="13"/>
  <c r="B215" i="13"/>
  <c r="C215" i="13"/>
  <c r="D215" i="13"/>
  <c r="E215" i="13"/>
  <c r="F215" i="13"/>
  <c r="G215" i="13"/>
  <c r="H215" i="13"/>
  <c r="I215" i="13"/>
  <c r="J215" i="13"/>
  <c r="K215" i="13"/>
  <c r="A216" i="13"/>
  <c r="B216" i="13"/>
  <c r="C216" i="13"/>
  <c r="D216" i="13"/>
  <c r="E216" i="13"/>
  <c r="F216" i="13"/>
  <c r="G216" i="13"/>
  <c r="H216" i="13"/>
  <c r="I216" i="13"/>
  <c r="J216" i="13"/>
  <c r="K216" i="13"/>
  <c r="A217" i="13"/>
  <c r="B217" i="13"/>
  <c r="C217" i="13"/>
  <c r="D217" i="13"/>
  <c r="E217" i="13"/>
  <c r="F217" i="13"/>
  <c r="G217" i="13"/>
  <c r="H217" i="13"/>
  <c r="I217" i="13"/>
  <c r="J217" i="13"/>
  <c r="K217" i="13"/>
  <c r="A218" i="13"/>
  <c r="B218" i="13"/>
  <c r="C218" i="13"/>
  <c r="D218" i="13"/>
  <c r="E218" i="13"/>
  <c r="F218" i="13"/>
  <c r="G218" i="13"/>
  <c r="H218" i="13"/>
  <c r="I218" i="13"/>
  <c r="J218" i="13"/>
  <c r="K218" i="13"/>
  <c r="A219" i="13"/>
  <c r="B219" i="13"/>
  <c r="C219" i="13"/>
  <c r="D219" i="13"/>
  <c r="E219" i="13"/>
  <c r="F219" i="13"/>
  <c r="G219" i="13"/>
  <c r="H219" i="13"/>
  <c r="I219" i="13"/>
  <c r="J219" i="13"/>
  <c r="K219" i="13"/>
  <c r="A220" i="13"/>
  <c r="B220" i="13"/>
  <c r="C220" i="13"/>
  <c r="D220" i="13"/>
  <c r="E220" i="13"/>
  <c r="F220" i="13"/>
  <c r="G220" i="13"/>
  <c r="H220" i="13"/>
  <c r="I220" i="13"/>
  <c r="J220" i="13"/>
  <c r="K220" i="13"/>
  <c r="A221" i="13"/>
  <c r="B221" i="13"/>
  <c r="C221" i="13"/>
  <c r="D221" i="13"/>
  <c r="E221" i="13"/>
  <c r="F221" i="13"/>
  <c r="G221" i="13"/>
  <c r="H221" i="13"/>
  <c r="I221" i="13"/>
  <c r="J221" i="13"/>
  <c r="K221" i="13"/>
  <c r="A222" i="13"/>
  <c r="B222" i="13"/>
  <c r="C222" i="13"/>
  <c r="D222" i="13"/>
  <c r="E222" i="13"/>
  <c r="F222" i="13"/>
  <c r="G222" i="13"/>
  <c r="H222" i="13"/>
  <c r="I222" i="13"/>
  <c r="J222" i="13"/>
  <c r="K222" i="13"/>
  <c r="A223" i="13"/>
  <c r="B223" i="13"/>
  <c r="C223" i="13"/>
  <c r="D223" i="13"/>
  <c r="E223" i="13"/>
  <c r="F223" i="13"/>
  <c r="G223" i="13"/>
  <c r="H223" i="13"/>
  <c r="I223" i="13"/>
  <c r="J223" i="13"/>
  <c r="K223" i="13"/>
  <c r="A224" i="13"/>
  <c r="B224" i="13"/>
  <c r="C224" i="13"/>
  <c r="D224" i="13"/>
  <c r="E224" i="13"/>
  <c r="F224" i="13"/>
  <c r="G224" i="13"/>
  <c r="H224" i="13"/>
  <c r="I224" i="13"/>
  <c r="J224" i="13"/>
  <c r="K224" i="13"/>
  <c r="A225" i="13"/>
  <c r="B225" i="13"/>
  <c r="C225" i="13"/>
  <c r="D225" i="13"/>
  <c r="E225" i="13"/>
  <c r="F225" i="13"/>
  <c r="G225" i="13"/>
  <c r="H225" i="13"/>
  <c r="I225" i="13"/>
  <c r="J225" i="13"/>
  <c r="K225" i="13"/>
  <c r="A226" i="13"/>
  <c r="B226" i="13"/>
  <c r="C226" i="13"/>
  <c r="D226" i="13"/>
  <c r="E226" i="13"/>
  <c r="F226" i="13"/>
  <c r="G226" i="13"/>
  <c r="H226" i="13"/>
  <c r="I226" i="13"/>
  <c r="J226" i="13"/>
  <c r="K226" i="13"/>
  <c r="A227" i="13"/>
  <c r="B227" i="13"/>
  <c r="C227" i="13"/>
  <c r="D227" i="13"/>
  <c r="E227" i="13"/>
  <c r="F227" i="13"/>
  <c r="G227" i="13"/>
  <c r="H227" i="13"/>
  <c r="I227" i="13"/>
  <c r="J227" i="13"/>
  <c r="K227" i="13"/>
  <c r="A228" i="13"/>
  <c r="B228" i="13"/>
  <c r="C228" i="13"/>
  <c r="D228" i="13"/>
  <c r="E228" i="13"/>
  <c r="F228" i="13"/>
  <c r="G228" i="13"/>
  <c r="H228" i="13"/>
  <c r="I228" i="13"/>
  <c r="J228" i="13"/>
  <c r="K228" i="13"/>
  <c r="A229" i="13"/>
  <c r="B229" i="13"/>
  <c r="C229" i="13"/>
  <c r="D229" i="13"/>
  <c r="E229" i="13"/>
  <c r="F229" i="13"/>
  <c r="G229" i="13"/>
  <c r="H229" i="13"/>
  <c r="I229" i="13"/>
  <c r="J229" i="13"/>
  <c r="K229" i="13"/>
  <c r="A230" i="13"/>
  <c r="B230" i="13"/>
  <c r="C230" i="13"/>
  <c r="D230" i="13"/>
  <c r="E230" i="13"/>
  <c r="F230" i="13"/>
  <c r="G230" i="13"/>
  <c r="H230" i="13"/>
  <c r="I230" i="13"/>
  <c r="J230" i="13"/>
  <c r="K230" i="13"/>
  <c r="A231" i="13"/>
  <c r="B231" i="13"/>
  <c r="C231" i="13"/>
  <c r="D231" i="13"/>
  <c r="E231" i="13"/>
  <c r="F231" i="13"/>
  <c r="G231" i="13"/>
  <c r="H231" i="13"/>
  <c r="I231" i="13"/>
  <c r="J231" i="13"/>
  <c r="K231" i="13"/>
  <c r="A232" i="13"/>
  <c r="B232" i="13"/>
  <c r="C232" i="13"/>
  <c r="D232" i="13"/>
  <c r="E232" i="13"/>
  <c r="F232" i="13"/>
  <c r="G232" i="13"/>
  <c r="H232" i="13"/>
  <c r="I232" i="13"/>
  <c r="J232" i="13"/>
  <c r="K232" i="13"/>
  <c r="A233" i="13"/>
  <c r="B233" i="13"/>
  <c r="C233" i="13"/>
  <c r="D233" i="13"/>
  <c r="E233" i="13"/>
  <c r="F233" i="13"/>
  <c r="G233" i="13"/>
  <c r="H233" i="13"/>
  <c r="I233" i="13"/>
  <c r="J233" i="13"/>
  <c r="K233" i="13"/>
  <c r="A234" i="13"/>
  <c r="B234" i="13"/>
  <c r="C234" i="13"/>
  <c r="D234" i="13"/>
  <c r="E234" i="13"/>
  <c r="F234" i="13"/>
  <c r="G234" i="13"/>
  <c r="H234" i="13"/>
  <c r="I234" i="13"/>
  <c r="J234" i="13"/>
  <c r="K234" i="13"/>
  <c r="A235" i="13"/>
  <c r="B235" i="13"/>
  <c r="C235" i="13"/>
  <c r="D235" i="13"/>
  <c r="E235" i="13"/>
  <c r="F235" i="13"/>
  <c r="G235" i="13"/>
  <c r="H235" i="13"/>
  <c r="I235" i="13"/>
  <c r="J235" i="13"/>
  <c r="K235" i="13"/>
  <c r="A236" i="13"/>
  <c r="B236" i="13"/>
  <c r="C236" i="13"/>
  <c r="D236" i="13"/>
  <c r="E236" i="13"/>
  <c r="F236" i="13"/>
  <c r="G236" i="13"/>
  <c r="H236" i="13"/>
  <c r="I236" i="13"/>
  <c r="J236" i="13"/>
  <c r="K236" i="13"/>
  <c r="A237" i="13"/>
  <c r="B237" i="13"/>
  <c r="C237" i="13"/>
  <c r="D237" i="13"/>
  <c r="E237" i="13"/>
  <c r="F237" i="13"/>
  <c r="G237" i="13"/>
  <c r="H237" i="13"/>
  <c r="I237" i="13"/>
  <c r="J237" i="13"/>
  <c r="K237" i="13"/>
  <c r="A238" i="13"/>
  <c r="B238" i="13"/>
  <c r="C238" i="13"/>
  <c r="D238" i="13"/>
  <c r="E238" i="13"/>
  <c r="F238" i="13"/>
  <c r="G238" i="13"/>
  <c r="H238" i="13"/>
  <c r="I238" i="13"/>
  <c r="J238" i="13"/>
  <c r="K238" i="13"/>
  <c r="A239" i="13"/>
  <c r="B239" i="13"/>
  <c r="C239" i="13"/>
  <c r="D239" i="13"/>
  <c r="E239" i="13"/>
  <c r="F239" i="13"/>
  <c r="G239" i="13"/>
  <c r="H239" i="13"/>
  <c r="I239" i="13"/>
  <c r="J239" i="13"/>
  <c r="K239" i="13"/>
  <c r="A240" i="13"/>
  <c r="B240" i="13"/>
  <c r="C240" i="13"/>
  <c r="D240" i="13"/>
  <c r="E240" i="13"/>
  <c r="F240" i="13"/>
  <c r="G240" i="13"/>
  <c r="H240" i="13"/>
  <c r="I240" i="13"/>
  <c r="J240" i="13"/>
  <c r="K240" i="13"/>
  <c r="A241" i="13"/>
  <c r="B241" i="13"/>
  <c r="C241" i="13"/>
  <c r="D241" i="13"/>
  <c r="E241" i="13"/>
  <c r="F241" i="13"/>
  <c r="G241" i="13"/>
  <c r="H241" i="13"/>
  <c r="I241" i="13"/>
  <c r="J241" i="13"/>
  <c r="K241" i="13"/>
  <c r="A242" i="13"/>
  <c r="B242" i="13"/>
  <c r="C242" i="13"/>
  <c r="D242" i="13"/>
  <c r="E242" i="13"/>
  <c r="F242" i="13"/>
  <c r="G242" i="13"/>
  <c r="H242" i="13"/>
  <c r="I242" i="13"/>
  <c r="J242" i="13"/>
  <c r="K242" i="13"/>
  <c r="A243" i="13"/>
  <c r="B243" i="13"/>
  <c r="C243" i="13"/>
  <c r="D243" i="13"/>
  <c r="E243" i="13"/>
  <c r="F243" i="13"/>
  <c r="G243" i="13"/>
  <c r="H243" i="13"/>
  <c r="I243" i="13"/>
  <c r="J243" i="13"/>
  <c r="K243" i="13"/>
  <c r="A244" i="13"/>
  <c r="B244" i="13"/>
  <c r="C244" i="13"/>
  <c r="D244" i="13"/>
  <c r="E244" i="13"/>
  <c r="F244" i="13"/>
  <c r="G244" i="13"/>
  <c r="H244" i="13"/>
  <c r="I244" i="13"/>
  <c r="J244" i="13"/>
  <c r="K244" i="13"/>
  <c r="A245" i="13"/>
  <c r="B245" i="13"/>
  <c r="C245" i="13"/>
  <c r="D245" i="13"/>
  <c r="E245" i="13"/>
  <c r="F245" i="13"/>
  <c r="G245" i="13"/>
  <c r="H245" i="13"/>
  <c r="I245" i="13"/>
  <c r="J245" i="13"/>
  <c r="K245" i="13"/>
  <c r="A246" i="13"/>
  <c r="B246" i="13"/>
  <c r="C246" i="13"/>
  <c r="D246" i="13"/>
  <c r="E246" i="13"/>
  <c r="F246" i="13"/>
  <c r="G246" i="13"/>
  <c r="H246" i="13"/>
  <c r="I246" i="13"/>
  <c r="J246" i="13"/>
  <c r="K246" i="13"/>
  <c r="A247" i="13"/>
  <c r="B247" i="13"/>
  <c r="C247" i="13"/>
  <c r="D247" i="13"/>
  <c r="E247" i="13"/>
  <c r="F247" i="13"/>
  <c r="G247" i="13"/>
  <c r="H247" i="13"/>
  <c r="I247" i="13"/>
  <c r="J247" i="13"/>
  <c r="K247" i="13"/>
  <c r="A248" i="13"/>
  <c r="B248" i="13"/>
  <c r="C248" i="13"/>
  <c r="D248" i="13"/>
  <c r="E248" i="13"/>
  <c r="F248" i="13"/>
  <c r="G248" i="13"/>
  <c r="H248" i="13"/>
  <c r="I248" i="13"/>
  <c r="J248" i="13"/>
  <c r="K248" i="13"/>
  <c r="A249" i="13"/>
  <c r="B249" i="13"/>
  <c r="C249" i="13"/>
  <c r="D249" i="13"/>
  <c r="E249" i="13"/>
  <c r="F249" i="13"/>
  <c r="G249" i="13"/>
  <c r="H249" i="13"/>
  <c r="I249" i="13"/>
  <c r="J249" i="13"/>
  <c r="K249" i="13"/>
  <c r="A250" i="13"/>
  <c r="B250" i="13"/>
  <c r="C250" i="13"/>
  <c r="D250" i="13"/>
  <c r="E250" i="13"/>
  <c r="F250" i="13"/>
  <c r="G250" i="13"/>
  <c r="H250" i="13"/>
  <c r="I250" i="13"/>
  <c r="J250" i="13"/>
  <c r="K250" i="13"/>
  <c r="A251" i="13"/>
  <c r="B251" i="13"/>
  <c r="C251" i="13"/>
  <c r="D251" i="13"/>
  <c r="E251" i="13"/>
  <c r="F251" i="13"/>
  <c r="G251" i="13"/>
  <c r="H251" i="13"/>
  <c r="I251" i="13"/>
  <c r="J251" i="13"/>
  <c r="K251" i="13"/>
  <c r="A252" i="13"/>
  <c r="B252" i="13"/>
  <c r="C252" i="13"/>
  <c r="D252" i="13"/>
  <c r="E252" i="13"/>
  <c r="F252" i="13"/>
  <c r="G252" i="13"/>
  <c r="H252" i="13"/>
  <c r="I252" i="13"/>
  <c r="J252" i="13"/>
  <c r="K252" i="13"/>
  <c r="A253" i="13"/>
  <c r="B253" i="13"/>
  <c r="C253" i="13"/>
  <c r="D253" i="13"/>
  <c r="E253" i="13"/>
  <c r="F253" i="13"/>
  <c r="G253" i="13"/>
  <c r="H253" i="13"/>
  <c r="I253" i="13"/>
  <c r="J253" i="13"/>
  <c r="K253" i="13"/>
  <c r="A254" i="13"/>
  <c r="B254" i="13"/>
  <c r="C254" i="13"/>
  <c r="D254" i="13"/>
  <c r="E254" i="13"/>
  <c r="F254" i="13"/>
  <c r="G254" i="13"/>
  <c r="H254" i="13"/>
  <c r="I254" i="13"/>
  <c r="J254" i="13"/>
  <c r="K254" i="13"/>
  <c r="A255" i="13"/>
  <c r="B255" i="13"/>
  <c r="C255" i="13"/>
  <c r="D255" i="13"/>
  <c r="E255" i="13"/>
  <c r="F255" i="13"/>
  <c r="G255" i="13"/>
  <c r="H255" i="13"/>
  <c r="I255" i="13"/>
  <c r="J255" i="13"/>
  <c r="K255" i="13"/>
  <c r="A256" i="13"/>
  <c r="B256" i="13"/>
  <c r="C256" i="13"/>
  <c r="D256" i="13"/>
  <c r="E256" i="13"/>
  <c r="F256" i="13"/>
  <c r="G256" i="13"/>
  <c r="H256" i="13"/>
  <c r="I256" i="13"/>
  <c r="J256" i="13"/>
  <c r="K256" i="13"/>
  <c r="A257" i="13"/>
  <c r="B257" i="13"/>
  <c r="C257" i="13"/>
  <c r="D257" i="13"/>
  <c r="E257" i="13"/>
  <c r="F257" i="13"/>
  <c r="G257" i="13"/>
  <c r="H257" i="13"/>
  <c r="I257" i="13"/>
  <c r="J257" i="13"/>
  <c r="K257" i="13"/>
  <c r="A258" i="13"/>
  <c r="B258" i="13"/>
  <c r="C258" i="13"/>
  <c r="D258" i="13"/>
  <c r="E258" i="13"/>
  <c r="F258" i="13"/>
  <c r="G258" i="13"/>
  <c r="H258" i="13"/>
  <c r="I258" i="13"/>
  <c r="J258" i="13"/>
  <c r="K258" i="13"/>
  <c r="A259" i="13"/>
  <c r="B259" i="13"/>
  <c r="C259" i="13"/>
  <c r="D259" i="13"/>
  <c r="E259" i="13"/>
  <c r="F259" i="13"/>
  <c r="G259" i="13"/>
  <c r="H259" i="13"/>
  <c r="I259" i="13"/>
  <c r="J259" i="13"/>
  <c r="K259" i="13"/>
  <c r="A260" i="13"/>
  <c r="B260" i="13"/>
  <c r="C260" i="13"/>
  <c r="D260" i="13"/>
  <c r="E260" i="13"/>
  <c r="F260" i="13"/>
  <c r="G260" i="13"/>
  <c r="H260" i="13"/>
  <c r="I260" i="13"/>
  <c r="J260" i="13"/>
  <c r="K260" i="13"/>
  <c r="A261" i="13"/>
  <c r="B261" i="13"/>
  <c r="C261" i="13"/>
  <c r="D261" i="13"/>
  <c r="E261" i="13"/>
  <c r="F261" i="13"/>
  <c r="G261" i="13"/>
  <c r="H261" i="13"/>
  <c r="I261" i="13"/>
  <c r="J261" i="13"/>
  <c r="K261" i="13"/>
  <c r="A262" i="13"/>
  <c r="B262" i="13"/>
  <c r="C262" i="13"/>
  <c r="D262" i="13"/>
  <c r="E262" i="13"/>
  <c r="F262" i="13"/>
  <c r="G262" i="13"/>
  <c r="H262" i="13"/>
  <c r="I262" i="13"/>
  <c r="J262" i="13"/>
  <c r="K262" i="13"/>
  <c r="A263" i="13"/>
  <c r="B263" i="13"/>
  <c r="C263" i="13"/>
  <c r="D263" i="13"/>
  <c r="E263" i="13"/>
  <c r="F263" i="13"/>
  <c r="G263" i="13"/>
  <c r="H263" i="13"/>
  <c r="I263" i="13"/>
  <c r="J263" i="13"/>
  <c r="K263" i="13"/>
  <c r="A264" i="13"/>
  <c r="B264" i="13"/>
  <c r="C264" i="13"/>
  <c r="D264" i="13"/>
  <c r="E264" i="13"/>
  <c r="F264" i="13"/>
  <c r="G264" i="13"/>
  <c r="H264" i="13"/>
  <c r="I264" i="13"/>
  <c r="J264" i="13"/>
  <c r="K264" i="13"/>
  <c r="A265" i="13"/>
  <c r="B265" i="13"/>
  <c r="C265" i="13"/>
  <c r="D265" i="13"/>
  <c r="E265" i="13"/>
  <c r="F265" i="13"/>
  <c r="G265" i="13"/>
  <c r="H265" i="13"/>
  <c r="I265" i="13"/>
  <c r="J265" i="13"/>
  <c r="K265" i="13"/>
  <c r="A266" i="13"/>
  <c r="B266" i="13"/>
  <c r="C266" i="13"/>
  <c r="D266" i="13"/>
  <c r="E266" i="13"/>
  <c r="F266" i="13"/>
  <c r="G266" i="13"/>
  <c r="H266" i="13"/>
  <c r="I266" i="13"/>
  <c r="J266" i="13"/>
  <c r="K266" i="13"/>
  <c r="A267" i="13"/>
  <c r="B267" i="13"/>
  <c r="C267" i="13"/>
  <c r="D267" i="13"/>
  <c r="E267" i="13"/>
  <c r="F267" i="13"/>
  <c r="G267" i="13"/>
  <c r="H267" i="13"/>
  <c r="I267" i="13"/>
  <c r="J267" i="13"/>
  <c r="K267" i="13"/>
  <c r="A268" i="13"/>
  <c r="B268" i="13"/>
  <c r="C268" i="13"/>
  <c r="D268" i="13"/>
  <c r="E268" i="13"/>
  <c r="F268" i="13"/>
  <c r="G268" i="13"/>
  <c r="H268" i="13"/>
  <c r="I268" i="13"/>
  <c r="J268" i="13"/>
  <c r="K268" i="13"/>
  <c r="A269" i="13"/>
  <c r="B269" i="13"/>
  <c r="C269" i="13"/>
  <c r="D269" i="13"/>
  <c r="E269" i="13"/>
  <c r="F269" i="13"/>
  <c r="G269" i="13"/>
  <c r="H269" i="13"/>
  <c r="I269" i="13"/>
  <c r="J269" i="13"/>
  <c r="K269" i="13"/>
  <c r="A270" i="13"/>
  <c r="B270" i="13"/>
  <c r="C270" i="13"/>
  <c r="D270" i="13"/>
  <c r="E270" i="13"/>
  <c r="F270" i="13"/>
  <c r="G270" i="13"/>
  <c r="H270" i="13"/>
  <c r="I270" i="13"/>
  <c r="J270" i="13"/>
  <c r="K270" i="13"/>
  <c r="A271" i="13"/>
  <c r="B271" i="13"/>
  <c r="C271" i="13"/>
  <c r="D271" i="13"/>
  <c r="E271" i="13"/>
  <c r="F271" i="13"/>
  <c r="G271" i="13"/>
  <c r="H271" i="13"/>
  <c r="I271" i="13"/>
  <c r="J271" i="13"/>
  <c r="K271" i="13"/>
  <c r="A272" i="13"/>
  <c r="B272" i="13"/>
  <c r="C272" i="13"/>
  <c r="D272" i="13"/>
  <c r="E272" i="13"/>
  <c r="F272" i="13"/>
  <c r="G272" i="13"/>
  <c r="H272" i="13"/>
  <c r="I272" i="13"/>
  <c r="J272" i="13"/>
  <c r="K272" i="13"/>
  <c r="A273" i="13"/>
  <c r="B273" i="13"/>
  <c r="C273" i="13"/>
  <c r="D273" i="13"/>
  <c r="E273" i="13"/>
  <c r="F273" i="13"/>
  <c r="G273" i="13"/>
  <c r="H273" i="13"/>
  <c r="I273" i="13"/>
  <c r="J273" i="13"/>
  <c r="K273" i="13"/>
  <c r="A274" i="13"/>
  <c r="B274" i="13"/>
  <c r="C274" i="13"/>
  <c r="D274" i="13"/>
  <c r="E274" i="13"/>
  <c r="F274" i="13"/>
  <c r="G274" i="13"/>
  <c r="H274" i="13"/>
  <c r="I274" i="13"/>
  <c r="J274" i="13"/>
  <c r="K274" i="13"/>
  <c r="A275" i="13"/>
  <c r="B275" i="13"/>
  <c r="C275" i="13"/>
  <c r="D275" i="13"/>
  <c r="E275" i="13"/>
  <c r="F275" i="13"/>
  <c r="G275" i="13"/>
  <c r="H275" i="13"/>
  <c r="I275" i="13"/>
  <c r="J275" i="13"/>
  <c r="K275" i="13"/>
  <c r="A276" i="13"/>
  <c r="B276" i="13"/>
  <c r="C276" i="13"/>
  <c r="D276" i="13"/>
  <c r="E276" i="13"/>
  <c r="F276" i="13"/>
  <c r="G276" i="13"/>
  <c r="H276" i="13"/>
  <c r="I276" i="13"/>
  <c r="J276" i="13"/>
  <c r="K276" i="13"/>
  <c r="A277" i="13"/>
  <c r="B277" i="13"/>
  <c r="C277" i="13"/>
  <c r="D277" i="13"/>
  <c r="E277" i="13"/>
  <c r="F277" i="13"/>
  <c r="G277" i="13"/>
  <c r="H277" i="13"/>
  <c r="I277" i="13"/>
  <c r="J277" i="13"/>
  <c r="K277" i="13"/>
  <c r="A278" i="13"/>
  <c r="B278" i="13"/>
  <c r="C278" i="13"/>
  <c r="D278" i="13"/>
  <c r="E278" i="13"/>
  <c r="F278" i="13"/>
  <c r="G278" i="13"/>
  <c r="H278" i="13"/>
  <c r="I278" i="13"/>
  <c r="J278" i="13"/>
  <c r="K278" i="13"/>
  <c r="A279" i="13"/>
  <c r="B279" i="13"/>
  <c r="C279" i="13"/>
  <c r="D279" i="13"/>
  <c r="E279" i="13"/>
  <c r="F279" i="13"/>
  <c r="G279" i="13"/>
  <c r="H279" i="13"/>
  <c r="I279" i="13"/>
  <c r="J279" i="13"/>
  <c r="K279" i="13"/>
  <c r="K149" i="13"/>
  <c r="J149" i="13"/>
  <c r="I149" i="13"/>
  <c r="H149" i="13"/>
  <c r="G149" i="13"/>
  <c r="F149" i="13"/>
  <c r="E149" i="13"/>
  <c r="D149" i="13"/>
  <c r="C149" i="13"/>
  <c r="B149" i="13"/>
  <c r="A149" i="13"/>
  <c r="A9" i="13" a="1"/>
  <c r="A9" i="13" s="1"/>
  <c r="I1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1DB2E-FF7C-4166-AD57-C5A58C7228B7}" keepAlive="1" name="Consulta - JH_Lote1" description="Conexión a la consulta 'JH_Lote1' en el libro." type="5" refreshedVersion="8" background="1" saveData="1">
    <dbPr connection="Provider=Microsoft.Mashup.OleDb.1;Data Source=$Workbook$;Location=JH_Lote1;Extended Properties=&quot;&quot;" command="SELECT * FROM [JH_Lote1]"/>
  </connection>
  <connection id="2" xr16:uid="{DC6A7384-DB08-40FD-9D7F-A74288A00000}" keepAlive="1" name="Consulta - JH_Lote1 (2)" description="Conexión a la consulta 'JH_Lote1 (2)' en el libro." type="5" refreshedVersion="8" background="1" saveData="1">
    <dbPr connection="Provider=Microsoft.Mashup.OleDb.1;Data Source=$Workbook$;Location=&quot;JH_Lote1 (2)&quot;;Extended Properties=&quot;&quot;" command="SELECT * FROM [JH_Lote1 (2)]"/>
  </connection>
  <connection id="3" xr16:uid="{A0CC7339-5CC7-475D-BC82-76D06631AA2B}" keepAlive="1" name="Consulta - JH_lote2" description="Conexión a la consulta 'JH_lote2' en el libro." type="5" refreshedVersion="8" background="1" saveData="1">
    <dbPr connection="Provider=Microsoft.Mashup.OleDb.1;Data Source=$Workbook$;Location=JH_lote2;Extended Properties=&quot;&quot;" command="SELECT * FROM [JH_lote2]"/>
  </connection>
  <connection id="4" xr16:uid="{99044A80-381A-4C1F-95E8-29DDF4EB233F}" keepAlive="1" name="Consulta - JH_lote3" description="Conexión a la consulta 'JH_lote3' en el libro." type="5" refreshedVersion="8" background="1" saveData="1">
    <dbPr connection="Provider=Microsoft.Mashup.OleDb.1;Data Source=$Workbook$;Location=JH_lote3;Extended Properties=&quot;&quot;" command="SELECT * FROM [JH_lote3]"/>
  </connection>
  <connection id="5" xr16:uid="{A390DE71-47A9-4FB4-8E2A-44CCD3A4B692}" keepAlive="1" name="Consulta - JH_lote4" description="Conexión a la consulta 'JH_lote4' en el libro." type="5" refreshedVersion="8" background="1" saveData="1">
    <dbPr connection="Provider=Microsoft.Mashup.OleDb.1;Data Source=$Workbook$;Location=JH_lote4;Extended Properties=&quot;&quot;" command="SELECT * FROM [JH_lote4]"/>
  </connection>
  <connection id="6" xr16:uid="{3FFDEA0B-4E58-428D-85A3-D76F403E959B}" keepAlive="1" name="Consulta - JH_Lote5" description="Conexión a la consulta 'JH_Lote5' en el libro." type="5" refreshedVersion="8" background="1" saveData="1">
    <dbPr connection="Provider=Microsoft.Mashup.OleDb.1;Data Source=$Workbook$;Location=JH_Lote5;Extended Properties=&quot;&quot;" command="SELECT * FROM [JH_Lote5]"/>
  </connection>
  <connection id="7" xr16:uid="{BEF6FFEC-CB49-46CB-8A2C-8D062EA29D49}" keepAlive="1" name="Consulta - JH_Lote6" description="Conexión a la consulta 'JH_Lote6' en el libro." type="5" refreshedVersion="8" background="1" saveData="1">
    <dbPr connection="Provider=Microsoft.Mashup.OleDb.1;Data Source=$Workbook$;Location=JH_Lote6;Extended Properties=&quot;&quot;" command="SELECT * FROM [JH_Lote6]"/>
  </connection>
  <connection id="8" xr16:uid="{A64E2EF4-72BD-4721-B901-EEB153717C74}" keepAlive="1" name="Consulta - JH_Lote7" description="Conexión a la consulta 'JH_Lote7' en el libro." type="5" refreshedVersion="8" background="1" saveData="1">
    <dbPr connection="Provider=Microsoft.Mashup.OleDb.1;Data Source=$Workbook$;Location=JH_Lote7;Extended Properties=&quot;&quot;" command="SELECT * FROM [JH_Lote7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<sst xmlns="http://schemas.openxmlformats.org/spreadsheetml/2006/main" count="3068" uniqueCount="638">
  <si>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</si>
  <si>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</si>
  <si>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</si>
  <si>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</si>
  <si>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</si>
  <si>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</si>
  <si>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</si>
  <si>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</si>
  <si>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</si>
  <si>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</si>
  <si>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</si>
  <si>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Nombre_completo_profesional</t>
  </si>
  <si>
    <t>Rol_oficial</t>
  </si>
  <si>
    <t>Tipo_rol</t>
  </si>
  <si>
    <t>Clase_activo_principal</t>
  </si>
  <si>
    <t>Sub_clase_activo_o_estilo</t>
  </si>
  <si>
    <t>Region_principal</t>
  </si>
  <si>
    <t>Tematica_principal</t>
  </si>
  <si>
    <t>Nombre_fondo</t>
  </si>
  <si>
    <t>ISIN_o_ticker_principal</t>
  </si>
  <si>
    <t>URL_bio_profesional</t>
  </si>
  <si>
    <t>URL_fondo</t>
  </si>
  <si>
    <t>Allan Maymin</t>
  </si>
  <si>
    <t>Co-Head of Global Asset Allocation | Portfolio Manager</t>
  </si>
  <si>
    <t>Gestor</t>
  </si>
  <si>
    <t>Multiactivo</t>
  </si>
  <si>
    <t>Global adaptive multi-asset allocation</t>
  </si>
  <si>
    <t>Global</t>
  </si>
  <si>
    <t>Asignación de activos / multiactivo cuantitativo</t>
  </si>
  <si>
    <t>Global Adaptive Multi-Asset Fund</t>
  </si>
  <si>
    <t>IE000757TN66</t>
  </si>
  <si>
    <t>https://www.janushenderson.com/corporate/bio/allan-maymin/</t>
  </si>
  <si>
    <t>https://www.janushenderson.com/es-es/advisor/product/janus-henderson-global-adaptive-multi-asset-fund/</t>
  </si>
  <si>
    <t>Daniel Sullivan</t>
  </si>
  <si>
    <t>Portfolio Manager (Head of Global Natural Resources)</t>
  </si>
  <si>
    <t>Renta variable</t>
  </si>
  <si>
    <t>Global natural resources equities</t>
  </si>
  <si>
    <t>Recursos naturales / energía / transición energética</t>
  </si>
  <si>
    <t>Global Natural Resources Fund</t>
  </si>
  <si>
    <t>ETL0331AU</t>
  </si>
  <si>
    <t>https://www.janushenderson.com/corporate/bio/daniel-sullivan/</t>
  </si>
  <si>
    <t>https://www.janushenderson.com/en-au/adviser/product/janus-henderson-global-natural-resources-fund/</t>
  </si>
  <si>
    <t>Darko Kuzmanovic</t>
  </si>
  <si>
    <t>Portfolio Manager (Global Natural Resources Team)</t>
  </si>
  <si>
    <t>Recursos naturales / minería / energía</t>
  </si>
  <si>
    <t>https://www.janushenderson.com/en-au/investor/bio/darko-kuzmanovic/</t>
  </si>
  <si>
    <t>Dillan Shah, CFA</t>
  </si>
  <si>
    <t>Quantitative Research Analyst</t>
  </si>
  <si>
    <t>Analista</t>
  </si>
  <si>
    <t>Renta fija</t>
  </si>
  <si>
    <t>Renta fija global cuantitativa</t>
  </si>
  <si>
    <t>Bonos globales / renta fija cuantitativa</t>
  </si>
  <si>
    <t>NO_DATO</t>
  </si>
  <si>
    <t>https://www.janushenderson.com/en-us/advisor/bio/dillan-shah/</t>
  </si>
  <si>
    <t>James Briggs, CFA</t>
  </si>
  <si>
    <t>Portfolio Manager (Corporate Credit Team)</t>
  </si>
  <si>
    <t>Crédito corporativo investment grade / Buy &amp; Maintain</t>
  </si>
  <si>
    <t>Crédito corporativo IG / carteras buy &amp; maintain / ESG en renta fija</t>
  </si>
  <si>
    <t>Global Investment Grade &amp; Buy and Maintain Credit Strategies</t>
  </si>
  <si>
    <t>https://www.janushenderson.com/en-gb/investor/bio/james-briggs-aca-cfa/</t>
  </si>
  <si>
    <t>Mark Richardson</t>
  </si>
  <si>
    <t>Portfolio Manager (Diversified Alternatives Team)</t>
  </si>
  <si>
    <t>Alternativos</t>
  </si>
  <si>
    <t>Diversified alternatives / estrategias cuantitativas</t>
  </si>
  <si>
    <t>Alternativos líquidos / estrategias sistemáticas</t>
  </si>
  <si>
    <t>Diversified Alternatives quantitative strategies</t>
  </si>
  <si>
    <t>https://www.janushenderson.com/en-be/advisor/bio/mark-richardson-dphil/</t>
  </si>
  <si>
    <t>Nick Schommer, CFA</t>
  </si>
  <si>
    <t>Portfolio Manager</t>
  </si>
  <si>
    <t>US large/mid-cap growth</t>
  </si>
  <si>
    <t>Estados Unidos</t>
  </si>
  <si>
    <t>Renta variable estadounidense growth</t>
  </si>
  <si>
    <t>US Growth / related US equity growth strategies</t>
  </si>
  <si>
    <t>https://www.janushenderson.com/en-us/advisor/bio/nick-schommer-cfa/</t>
  </si>
  <si>
    <t>US mid-cap blend / contrarian</t>
  </si>
  <si>
    <t>Renta variable estadounidense / enfoque contrarian</t>
  </si>
  <si>
    <t>Janus Henderson Contrarian Fund</t>
  </si>
  <si>
    <t>Oliver Blackbourn, CFA</t>
  </si>
  <si>
    <t>Portfolio Manager (Multi-Asset Team)</t>
  </si>
  <si>
    <t>Flexible multi-asset portfolios</t>
  </si>
  <si>
    <t>Multiactivo global / visión macro</t>
  </si>
  <si>
    <t>Multi-Asset flexible strategies</t>
  </si>
  <si>
    <t>https://www.janushenderson.com/en-gb/investor/bio/oliver-blackbourn-cfa/</t>
  </si>
  <si>
    <t>Ali Dibadj</t>
  </si>
  <si>
    <t>Chief Executive Officer</t>
  </si>
  <si>
    <t>Otro</t>
  </si>
  <si>
    <t>Dirección corporativa / estrategia</t>
  </si>
  <si>
    <t>Gestión de activos / estrategia corporativa / ESG corporativo</t>
  </si>
  <si>
    <t>https://www.janushenderson.com/en-fi/advisor/bio/ali-dibadj/</t>
  </si>
  <si>
    <t>Aaron Schaechterle</t>
  </si>
  <si>
    <t>Portfolio Manager | Research Analyst</t>
  </si>
  <si>
    <t>Gestor+Analista</t>
  </si>
  <si>
    <t>US small/mid-cap growth</t>
  </si>
  <si>
    <t>Small &amp; mid cap growth / tecnología / industriales</t>
  </si>
  <si>
    <t>US Venture Fund</t>
  </si>
  <si>
    <t>https://www.janushenderson.com/corporate/bio/aaron-schaechterle/</t>
  </si>
  <si>
    <t>US SMID Cap Growth</t>
  </si>
  <si>
    <t>Small &amp; mid cap growth / modelos de negocio diferenciados</t>
  </si>
  <si>
    <t>US SMID Cap Growth Managed Account</t>
  </si>
  <si>
    <t>https://www.janushenderson.com/en-us/advisor/product/us-smid-cap-growth-managed-account/</t>
  </si>
  <si>
    <t>Aaron Scully, CFA</t>
  </si>
  <si>
    <t>Global sustainable equity</t>
  </si>
  <si>
    <t>ESG / sostenibilidad</t>
  </si>
  <si>
    <t>Horizon Global Sustainable Equity Fund</t>
  </si>
  <si>
    <t>https://www.janushenderson.com/en-us/advisor/bio/aaron-scully-cfa/</t>
  </si>
  <si>
    <t>Global Sustainable Equity strategies</t>
  </si>
  <si>
    <t>Addison Maier</t>
  </si>
  <si>
    <t>Global short duration income</t>
  </si>
  <si>
    <t>Renta fija corto plazo / liquidez</t>
  </si>
  <si>
    <t>Global Short Duration Income Fund</t>
  </si>
  <si>
    <t>IE00BZ771832</t>
  </si>
  <si>
    <t>https://www.janushenderson.com/en-sg/investor/bio/addison-maier/</t>
  </si>
  <si>
    <t>Absolute return income</t>
  </si>
  <si>
    <t>Renta fija retorno absoluto</t>
  </si>
  <si>
    <t>Absolute Return Income Opportunities Fund</t>
  </si>
  <si>
    <t>Agustin Mohedas, PhD</t>
  </si>
  <si>
    <t>Global healthcare / biotechnology equities</t>
  </si>
  <si>
    <t>Biotecnología / salud</t>
  </si>
  <si>
    <t>Horizon Biotechnology Fund</t>
  </si>
  <si>
    <t>https://www.janushenderson.com/en-us/advisor/bio/agustin-mohedas-ph-d/</t>
  </si>
  <si>
    <t>https://www.janushenderson.com/en-se/investor/product/janus-henderson-horizon-biotechnology-fund/</t>
  </si>
  <si>
    <t>Alex Crooke, ASIP</t>
  </si>
  <si>
    <t>Global equity income</t>
  </si>
  <si>
    <t>Renta variable global de dividendo / income</t>
  </si>
  <si>
    <t>Global Equity Income strategies</t>
  </si>
  <si>
    <t>https://www.janushenderson.com/en-gb/adviser/bio/alex-crooke/</t>
  </si>
  <si>
    <t>Global dividend &amp; income</t>
  </si>
  <si>
    <t>Global Dividend &amp; Income strategies</t>
  </si>
  <si>
    <t>Alex Veroude, CFA</t>
  </si>
  <si>
    <t>Head of Fixed Income</t>
  </si>
  <si>
    <t>Global fixed income leadership</t>
  </si>
  <si>
    <t>Gestión de renta fija / crédito / core</t>
  </si>
  <si>
    <t>https://www.janushenderson.com/en-gb/adviser/bio/alex-veroude-cfa/</t>
  </si>
  <si>
    <t>Alexander Keen, CFA</t>
  </si>
  <si>
    <t>Diversified alternatives</t>
  </si>
  <si>
    <t>Alternativos líquidos / multiestrategia</t>
  </si>
  <si>
    <t>Diversified Alternatives strategies</t>
  </si>
  <si>
    <t>https://www.janushenderson.com/en-gb/investor/bio/alexander-keen-cfa/</t>
  </si>
  <si>
    <t>Alison Porter</t>
  </si>
  <si>
    <t>Global technology equities</t>
  </si>
  <si>
    <t>Tecnología</t>
  </si>
  <si>
    <t>Global Technology Leaders strategies</t>
  </si>
  <si>
    <t>https://www.janushenderson.com/es-es/investor/bio/alison-porter/</t>
  </si>
  <si>
    <t>Andrew Forman</t>
  </si>
  <si>
    <t>Associate Portfolio Manager | Money Market Analyst</t>
  </si>
  <si>
    <t>Money market / short-term liquidity</t>
  </si>
  <si>
    <t>Mercado monetario / gestión de tesorería</t>
  </si>
  <si>
    <t>Money market strategies</t>
  </si>
  <si>
    <t>Andrew Jones</t>
  </si>
  <si>
    <t>Janus Henderson Cautious Managed Fund</t>
  </si>
  <si>
    <t>GB00B6ZHN203</t>
  </si>
  <si>
    <t>https://www.janushenderson.com/en-gb/investor/bio/andrew-jones/</t>
  </si>
  <si>
    <t>Andy Acker, CFA</t>
  </si>
  <si>
    <t>Global life sciences equities</t>
  </si>
  <si>
    <t>Salud / ciencias de la vida</t>
  </si>
  <si>
    <t>Global Life Sciences Fund</t>
  </si>
  <si>
    <t>https://www.janushenderson.com/en-us/advisor/bio/andy-acker/</t>
  </si>
  <si>
    <t>https://www.janushenderson.com/en-us/advisor/product/global-life-sciences-fund/</t>
  </si>
  <si>
    <t>Biotechnology equities</t>
  </si>
  <si>
    <t>Biotecnología</t>
  </si>
  <si>
    <t>Arjun Bhandari, CFA</t>
  </si>
  <si>
    <t>Global bonds</t>
  </si>
  <si>
    <t>Bonos globales / renta fija agregada</t>
  </si>
  <si>
    <t>Global Bonds strategies</t>
  </si>
  <si>
    <t>https://www.janushenderson.com/en-us/advisor/bio/arjun-bhandari-cfa/</t>
  </si>
  <si>
    <t>Ben Jones</t>
  </si>
  <si>
    <t>https://www.janushenderson.com/en-gb/investor/bio/ben-jones/</t>
  </si>
  <si>
    <t>Ben Lofthouse, CFA</t>
  </si>
  <si>
    <t>Head of Global Equity Income | Portfolio Manager</t>
  </si>
  <si>
    <t>Global Equity Income Fund</t>
  </si>
  <si>
    <t>https://www.janushenderson.com/en-gb/investor/bio/ben-lofthouse/</t>
  </si>
  <si>
    <t>Ben Wallace</t>
  </si>
  <si>
    <t>Absolute return equities</t>
  </si>
  <si>
    <t>Reino Unido / Europa</t>
  </si>
  <si>
    <t>Renta variable long/short / retorno absoluto</t>
  </si>
  <si>
    <t>Absolute Return Equities strategies</t>
  </si>
  <si>
    <t>https://www.janushenderson.com/corporate/bio/ben-wallace/</t>
  </si>
  <si>
    <t>Benjamin Wang, CFA</t>
  </si>
  <si>
    <t>Portfolio Manager | Quantitative Solutions</t>
  </si>
  <si>
    <t>Quantitative equity / index solutions</t>
  </si>
  <si>
    <t>Renta variable cuantitativa / indexada</t>
  </si>
  <si>
    <t>Quantitative Solutions strategies</t>
  </si>
  <si>
    <t>https://www.janushenderson.com/en-sg/investor/bio/benjamin-wang-cfa/</t>
  </si>
  <si>
    <t>Bent Lystbaek</t>
  </si>
  <si>
    <t>Emerging Markets Debt Hard Currency</t>
  </si>
  <si>
    <t>Mercados emergentes</t>
  </si>
  <si>
    <t>Deuda emergente en divisa fuerte</t>
  </si>
  <si>
    <t>Emerging Markets Debt Hard Currency strategies</t>
  </si>
  <si>
    <t>https://www.janushenderson.com/en-us/advisor/bio/bent-lystbaek/</t>
  </si>
  <si>
    <t>Bradford Smith</t>
  </si>
  <si>
    <t>Core Plus &amp; corporate credit</t>
  </si>
  <si>
    <t>Crédito corporativo / renta fija Core Plus</t>
  </si>
  <si>
    <t>Core Plus and Corporate Credit strategies</t>
  </si>
  <si>
    <t>https://www.janushenderson.com/en-pt/advisor/bio/bradford-smith/</t>
  </si>
  <si>
    <t>Brent Olson</t>
  </si>
  <si>
    <t>Credit-focused strategies</t>
  </si>
  <si>
    <t>Crédito corporativo / enfoque fundamental</t>
  </si>
  <si>
    <t>Credit strategies</t>
  </si>
  <si>
    <t>https://www.janushenderson.com/en-gb/adviser/bio/brent-olson/</t>
  </si>
  <si>
    <t>Brian Demain, CFA</t>
  </si>
  <si>
    <t>US mid-cap growth</t>
  </si>
  <si>
    <t>Renta variable estadounidense mid cap growth</t>
  </si>
  <si>
    <t>US Mid Cap Growth strategies</t>
  </si>
  <si>
    <t>https://www.janushenderson.com/en-ie/investor/bio/brian-demain-cfa/</t>
  </si>
  <si>
    <t>Brian Recht</t>
  </si>
  <si>
    <t>US growth equities</t>
  </si>
  <si>
    <t>Consumo y comunicaciones / growth</t>
  </si>
  <si>
    <t>US growth equity strategies</t>
  </si>
  <si>
    <t>https://www.janushenderson.com/en-gb/adviser/bio/brian-recht/</t>
  </si>
  <si>
    <t>Carlo Castronovo</t>
  </si>
  <si>
    <t>Diversified alternatives / multi-strategy</t>
  </si>
  <si>
    <t>Alternativos líquidos / estrategias multiestrategia</t>
  </si>
  <si>
    <t>Global Multi-Strategy funds</t>
  </si>
  <si>
    <t>https://www.janushenderson.com/middle-east/institutional/bio/carlo-castronovo/</t>
  </si>
  <si>
    <t>Charlotte Greville, CFA</t>
  </si>
  <si>
    <t>https://www.janushenderson.com/en-us/advisor/bio/charlotte-greville-cfa/</t>
  </si>
  <si>
    <t>Christopher O'Malley, CFA</t>
  </si>
  <si>
    <t>Global alpha equities</t>
  </si>
  <si>
    <t>Renta variable global / enfoque growth de alta convicción</t>
  </si>
  <si>
    <t>Global Alpha Equity strategies</t>
  </si>
  <si>
    <t>https://www.janushenderson.com/en-us/offshore/bio/christopher-omalley-cfa/</t>
  </si>
  <si>
    <t>Cody Wheaton, CFA</t>
  </si>
  <si>
    <t>Small &amp; mid cap growth / financieros y consumo</t>
  </si>
  <si>
    <t>https://www.janushenderson.com/en-us/advisor/bio/philip-cody-wheaton-cfa/</t>
  </si>
  <si>
    <t>Craig Kempler, CFA</t>
  </si>
  <si>
    <t>US SMID value</t>
  </si>
  <si>
    <t>Renta variable value en small &amp; mid caps</t>
  </si>
  <si>
    <t>US SMID Value strategies</t>
  </si>
  <si>
    <t>https://www.janushenderson.com/en-dk/investor/bio/craig-kempler-cfa/</t>
  </si>
  <si>
    <t>Daniel Lyons, PhD, CFA</t>
  </si>
  <si>
    <t>Global healthcare / biotech</t>
  </si>
  <si>
    <t>Biotecnología y life science tools</t>
  </si>
  <si>
    <t>Health Care &amp; Biotech strategies</t>
  </si>
  <si>
    <t>https://www.janushenderson.com/en-be/advisor/bio/daniel-lyons-phd-cfa/</t>
  </si>
  <si>
    <t>Daniel Siluk</t>
  </si>
  <si>
    <t>Head of Global Short Duration &amp; Liquidity | Portfolio Manager</t>
  </si>
  <si>
    <t>Short duration &amp; liquidity</t>
  </si>
  <si>
    <t>Renta fija a corto plazo / liquidez</t>
  </si>
  <si>
    <t>Global Short Duration &amp; Liquidity strategies</t>
  </si>
  <si>
    <t>https://www.janushendersoncharitable.org/bio/daniel-siluk/</t>
  </si>
  <si>
    <t>Danny Greenberger</t>
  </si>
  <si>
    <t>Global property equities</t>
  </si>
  <si>
    <t>Inmobiliario cotizado / real estate long/short</t>
  </si>
  <si>
    <t>Global Property Equities strategies</t>
  </si>
  <si>
    <t>https://www.janushenderson.com/en-us/advisor/bio/daniel-greenberger/</t>
  </si>
  <si>
    <t>David Elms</t>
  </si>
  <si>
    <t>Head of Diversified Alternatives | Portfolio Manager</t>
  </si>
  <si>
    <t>Diversified alternatives / absolute return</t>
  </si>
  <si>
    <t>Alternativos líquidos / retorno absoluto</t>
  </si>
  <si>
    <t>https://www.janushenderson.com/en-us/advisor/bio/david-elms/</t>
  </si>
  <si>
    <t>David Padulo, CFA</t>
  </si>
  <si>
    <t>Investment grade corporate credit</t>
  </si>
  <si>
    <t>Crédito corporativo investment grade</t>
  </si>
  <si>
    <t>Corporate Credit strategies</t>
  </si>
  <si>
    <t>https://www.janushenderson.com/nl-nl/investor/bio/david-padulo-cfa/</t>
  </si>
  <si>
    <t>David Smith, CFA</t>
  </si>
  <si>
    <t>UK &amp; global equity income</t>
  </si>
  <si>
    <t>Reino Unido / Global</t>
  </si>
  <si>
    <t>Renta variable de dividendo / income</t>
  </si>
  <si>
    <t>Janus Henderson UK Responsible Income Fund</t>
  </si>
  <si>
    <t>GB0005030373</t>
  </si>
  <si>
    <t>https://www.janushenderson.com/en-gb/investor/bio/david-smith/</t>
  </si>
  <si>
    <t>Denis Struc</t>
  </si>
  <si>
    <t>Secured credit / securitised debt</t>
  </si>
  <si>
    <t>Crédito titulizado / ABS</t>
  </si>
  <si>
    <t>Secured Credit strategies</t>
  </si>
  <si>
    <t>https://www.janushenderson.com/corporate/bio/denis-struc/</t>
  </si>
  <si>
    <t>Denny Fish</t>
  </si>
  <si>
    <t>Global technology &amp; innovation equities</t>
  </si>
  <si>
    <t>Global Technology &amp; Innovation strategies</t>
  </si>
  <si>
    <t>https://www.janushenderson.com/en-us/advisor/bio/denny-fish/</t>
  </si>
  <si>
    <t>Dimitri Diamand</t>
  </si>
  <si>
    <t>Associate Portfolio Manager</t>
  </si>
  <si>
    <t>Australian fixed interest</t>
  </si>
  <si>
    <t>Australia</t>
  </si>
  <si>
    <t>Renta fija australiana / duración</t>
  </si>
  <si>
    <t>Australian Fixed Interest strategies</t>
  </si>
  <si>
    <t>https://www.janushenderson.com/en-hk/investor/bio/dimitri-diamand/</t>
  </si>
  <si>
    <t>Douglas Turnbull, CFA</t>
  </si>
  <si>
    <t>Emerging markets equities</t>
  </si>
  <si>
    <t>Renta variable emergente / tecnología</t>
  </si>
  <si>
    <t>Emerging Market Equity strategies</t>
  </si>
  <si>
    <t>https://www.janushenderson.com/en-ch/investor/bio/douglas-turnbull/</t>
  </si>
  <si>
    <t>Dylan Bourke, CFA</t>
  </si>
  <si>
    <t>https://www.janushenderson.com/en-se/advisor/bio/dylan-bourke/</t>
  </si>
  <si>
    <t>Eduardo Jimenez Martin, CFA, FRM</t>
  </si>
  <si>
    <t>Global multi-asset</t>
  </si>
  <si>
    <t>Multiactivo / asignación cuantitativa</t>
  </si>
  <si>
    <t>Multi-Asset strategies</t>
  </si>
  <si>
    <t>https://www.janushenderson.com/corporate/bio/eduardo-jimenez-martin-cfa-frm/</t>
  </si>
  <si>
    <t>Edward Parcell</t>
  </si>
  <si>
    <t>Alternativos líquidos / sistemáticos</t>
  </si>
  <si>
    <t>https://www.janushenderson.com/en-gb/investor/bio/edward-parcell/</t>
  </si>
  <si>
    <t>Edward Su, CFA</t>
  </si>
  <si>
    <t>Consumer equities</t>
  </si>
  <si>
    <t>Consumo global / growth</t>
  </si>
  <si>
    <t>Consumer Sector strategies</t>
  </si>
  <si>
    <t>https://www.janushenderson.com/en-us/advisor/bio/edward-su-cfa/</t>
  </si>
  <si>
    <t>Faizan Baig, CFA</t>
  </si>
  <si>
    <t>https://www.janushenderson.com/en-hk/investor/bio/faizan-baig-cfa/</t>
  </si>
  <si>
    <t>Federico Borin</t>
  </si>
  <si>
    <t>Research Analyst</t>
  </si>
  <si>
    <t>European equities</t>
  </si>
  <si>
    <t>Europa</t>
  </si>
  <si>
    <t>Renta variable europea</t>
  </si>
  <si>
    <t>European Equities strategies</t>
  </si>
  <si>
    <t>https://www.janushenderson.com/en-se/investor/bio/federico-borin/</t>
  </si>
  <si>
    <t>Fei Wang, CFA, CAIA</t>
  </si>
  <si>
    <t>Multi-strategy equity, diversified alternatives</t>
  </si>
  <si>
    <t>Alternativos líquidos / equity derivatives</t>
  </si>
  <si>
    <t>Multi-Strategy Equity, Diversified Alternatives</t>
  </si>
  <si>
    <t>https://www.janushenderson.com/corporate/bio/fei-wang-cfa/</t>
  </si>
  <si>
    <t>Fran Radano, CFA</t>
  </si>
  <si>
    <t>North American equity income</t>
  </si>
  <si>
    <t>Norteamérica</t>
  </si>
  <si>
    <t>Renta variable de dividendo en Norteamérica</t>
  </si>
  <si>
    <t>North American Income strategies</t>
  </si>
  <si>
    <t>https://www.janushenderson.com/en-us/advisor/bio/fran-radano-cfa/</t>
  </si>
  <si>
    <t>Garrett Strum</t>
  </si>
  <si>
    <t>Portfolio Manager | Money Market Analyst</t>
  </si>
  <si>
    <t>Money market / cash management</t>
  </si>
  <si>
    <t>Mercado monetario / liquidez</t>
  </si>
  <si>
    <t>Money Market strategies</t>
  </si>
  <si>
    <t>https://www.janushenderson.com/corporate/bio/garrett-strum/</t>
  </si>
  <si>
    <t>Georgina Fogo</t>
  </si>
  <si>
    <t>Chief Risk Officer</t>
  </si>
  <si>
    <t>Riesgo y cumplimiento global</t>
  </si>
  <si>
    <t>Gestión de riesgos / regulación</t>
  </si>
  <si>
    <t>https://www.janushenderson.com/en-us/investor/bio/georgina-fogo/</t>
  </si>
  <si>
    <t>Graeme Clark</t>
  </si>
  <si>
    <t>https://www.janushenderson.com/en-hk/investor/bio/graeme-clark/</t>
  </si>
  <si>
    <t>Greg Kuhl, CFA</t>
  </si>
  <si>
    <t>Inmobiliario cotizado global</t>
  </si>
  <si>
    <t>https://www.janushenderson.com/corporate/bio/greg-kuhl-cfa/</t>
  </si>
  <si>
    <t>Guy Barnard, CFA</t>
  </si>
  <si>
    <t>Co-Head of Global Property Equities | Portfolio Manager</t>
  </si>
  <si>
    <t>https://www.janushenderson.com/en-us/offshore/bio/guy-barnard/</t>
  </si>
  <si>
    <t>Ian Bettney</t>
  </si>
  <si>
    <t>ABS / secured credit</t>
  </si>
  <si>
    <t>https://www.linkedin.com/in/ian-bettney-4a2b1024</t>
  </si>
  <si>
    <t>Ignacio De La Maza</t>
  </si>
  <si>
    <t>Head of EMEA &amp; LatAm Client Group</t>
  </si>
  <si>
    <t>Distribución y negocio institucional EMEA &amp; LatAm</t>
  </si>
  <si>
    <t>Europa / Latinoamérica</t>
  </si>
  <si>
    <t>Relación con clientes / ventas institucionales</t>
  </si>
  <si>
    <t>https://www.janushenderson.com/es-es/investor/bio/ignacio-de-la-maza/</t>
  </si>
  <si>
    <t>Indriatti van Hien, ACA, CFA</t>
  </si>
  <si>
    <t>UK equities</t>
  </si>
  <si>
    <t>Reino Unido</t>
  </si>
  <si>
    <t>Renta variable británica / income &amp; alpha</t>
  </si>
  <si>
    <t>UK Equity &amp; UK Alpha strategies</t>
  </si>
  <si>
    <t>https://www.janushenderson.com/en-gb/investor/bio/indriatti-van-hien-aca-cfa/</t>
  </si>
  <si>
    <t>Jacob Ellinge Nielsen</t>
  </si>
  <si>
    <t>EMD Hard Currency strategies</t>
  </si>
  <si>
    <t>https://www.janushenderson.com/en-us/institutional/bio/jacob-ellinge-nielsen/</t>
  </si>
  <si>
    <t>James de Bunsen, CFA</t>
  </si>
  <si>
    <t>Multi-asset &amp; alternatives</t>
  </si>
  <si>
    <t>Multiactivo con alternativos / retorno absoluto</t>
  </si>
  <si>
    <t>Diversified Alternatives &amp; Multi-Asset Absolute Return funds</t>
  </si>
  <si>
    <t>https://www.janushenderson.com/en-us/offshore/bio/james-de-bunsen/</t>
  </si>
  <si>
    <t>James Henderson</t>
  </si>
  <si>
    <t>Global &amp; UK equity income</t>
  </si>
  <si>
    <t>Global Equity Income &amp; UK Equity Income strategies</t>
  </si>
  <si>
    <t>https://www.janushenderson.com/en-be/advisor/bio/james-henderson/</t>
  </si>
  <si>
    <t>Jamie Sandells, PhD</t>
  </si>
  <si>
    <t>Structured income / equity-linked ETFs</t>
  </si>
  <si>
    <t>Alternativos / income estructurado</t>
  </si>
  <si>
    <t>Structured Income ETF strategies (JELH, JELM)</t>
  </si>
  <si>
    <t>Jay Sivapalan, CFA</t>
  </si>
  <si>
    <t>Head of Australian Fixed Interest | Portfolio Manager</t>
  </si>
  <si>
    <t>Renta fija australiana / tipos y crédito</t>
  </si>
  <si>
    <t>https://www.janushenderson.com/en-au/investor/bio/jay-sivapalan-cfa/</t>
  </si>
  <si>
    <t>Jenna Barnard, CFA</t>
  </si>
  <si>
    <t>Head of Global Bonds | Portfolio Manager</t>
  </si>
  <si>
    <t>Global bonds / strategic bond</t>
  </si>
  <si>
    <t>Bonos globales / renta fija flexible</t>
  </si>
  <si>
    <t>Strategic Bond y Global Bond strategies</t>
  </si>
  <si>
    <t>https://www.janushenderson.com/en-gb/investor/bio/jenna-barnard-cfa/</t>
  </si>
  <si>
    <t>Jeremiah Buckley, CFA</t>
  </si>
  <si>
    <t>US multi-sector large-cap equities</t>
  </si>
  <si>
    <t>Renta variable estadounidense multitemática / balanced</t>
  </si>
  <si>
    <t>US Growth &amp; Balanced strategies</t>
  </si>
  <si>
    <t>https://www.janushenderson.com/en-us/advisor/bio/jeremiah-buckley/</t>
  </si>
  <si>
    <t>Jeremy Tjaden, CFA</t>
  </si>
  <si>
    <t>Portfolio Manager | Analyst | Quantitative Solutions</t>
  </si>
  <si>
    <t>Quantitative equity solutions</t>
  </si>
  <si>
    <t>https://www.janushenderson.com/en-pt/advisor/bio/jeremy-tjaden-cfa/</t>
  </si>
  <si>
    <t>Job Curtis, ASIP</t>
  </si>
  <si>
    <t>City of London Investment Trust &amp; Global Equity Income strategies</t>
  </si>
  <si>
    <t>https://www.marketscreener.com/insider/JOB-CURTIS-A03P0E/</t>
  </si>
  <si>
    <t>John Griffiths</t>
  </si>
  <si>
    <t>https://www.janushenderson.com/corporate/bio/john-griffiths/</t>
  </si>
  <si>
    <t>John Jordan</t>
  </si>
  <si>
    <t>Global financials equities</t>
  </si>
  <si>
    <t>Sector financiero global</t>
  </si>
  <si>
    <t>Global Financials strategies</t>
  </si>
  <si>
    <t>https://www.janushenderson.com/en-gb/adviser/bio/john-jordan/</t>
  </si>
  <si>
    <t>John Kerschner, CFA</t>
  </si>
  <si>
    <t>Global Head of Securitised Products | Portfolio Manager</t>
  </si>
  <si>
    <t>Securitised products / structured credit</t>
  </si>
  <si>
    <t>Crédito titulizado / MBS / ABS</t>
  </si>
  <si>
    <t>Securitised Credit &amp; Core Plus strategies</t>
  </si>
  <si>
    <t>https://www.janushenderson.com/en-gb/investor/bio/john-kerschner/</t>
  </si>
  <si>
    <t>John King</t>
  </si>
  <si>
    <t>https://www.janushenderson.com/en-us/investor/bio/john-king/</t>
  </si>
  <si>
    <t>John Lloyd</t>
  </si>
  <si>
    <t>Global Head of Multi-Sector Credit | Portfolio Manager</t>
  </si>
  <si>
    <t>Multi-sector credit</t>
  </si>
  <si>
    <t>Crédito multisectorial / investment grade y high yield</t>
  </si>
  <si>
    <t>Multi-Sector Credit strategies</t>
  </si>
  <si>
    <t>https://www.janushenderson.com/en-gb/adviser/bio/john-lloyd/</t>
  </si>
  <si>
    <t>Jonathan Cofsky, CFA</t>
  </si>
  <si>
    <t>Portfolio Manager | Research Analyst | Technology Co-Sector Lead</t>
  </si>
  <si>
    <t>https://www.janushenderson.com/en-us/advisor/bio/jonathan-cofsky-cfa/</t>
  </si>
  <si>
    <t>Jonathan Coleman, CFA</t>
  </si>
  <si>
    <t>Small &amp; mid cap growth</t>
  </si>
  <si>
    <t>US SMID Cap Growth &amp; US Small Company Growth strategies</t>
  </si>
  <si>
    <t>https://www.janushenderson.com/bio/jonathan-coleman-cfa/</t>
  </si>
  <si>
    <t>Joshua Cummings, CFA</t>
  </si>
  <si>
    <t>US consumer &amp; communications equities</t>
  </si>
  <si>
    <t>Consumo y comunicaciones</t>
  </si>
  <si>
    <t>Consumer &amp; Communications Sector strategies</t>
  </si>
  <si>
    <t>https://www.janushenderson.com/en-us/advisor/bio/joshua-cummings-cfa/</t>
  </si>
  <si>
    <t>Julia Scheufler, CFA</t>
  </si>
  <si>
    <t>European small &amp; mid-cap equities</t>
  </si>
  <si>
    <t>Renta variable europea / small &amp; mid caps</t>
  </si>
  <si>
    <t>European Small &amp; Mid Cap strategies</t>
  </si>
  <si>
    <t>https://www.janushenderson.com/en-us/advisor/bio/julia-scheufler-cfa/</t>
  </si>
  <si>
    <t>Junichi Inoue</t>
  </si>
  <si>
    <t>Head of Japanese Equities | Portfolio Manager</t>
  </si>
  <si>
    <t>Japanese equities high conviction</t>
  </si>
  <si>
    <t>Japón</t>
  </si>
  <si>
    <t>Renta variable japonesa / reformas corporativas</t>
  </si>
  <si>
    <t>Japan High Conviction Equity strategies</t>
  </si>
  <si>
    <t>https://www.janushenderson.com/en-gb/adviser/bio/junichi-inoue/</t>
  </si>
  <si>
    <t>Kris Bernie</t>
  </si>
  <si>
    <t>Global short duration &amp; liquidity</t>
  </si>
  <si>
    <t>https://www.janushenderson.com/corporate/bio/kris-bernie/</t>
  </si>
  <si>
    <t>Lance Yoshihara</t>
  </si>
  <si>
    <t>https://www.janushenderson.com/es-es/investor/bio/lance-yoshihara/</t>
  </si>
  <si>
    <t>Larry Cohen</t>
  </si>
  <si>
    <t>Chief Transformation &amp; Operating Officer</t>
  </si>
  <si>
    <t>Transformación y operaciones</t>
  </si>
  <si>
    <t>Operaciones / tecnología / cambio organizativo</t>
  </si>
  <si>
    <t>https://www.janushenderson.com/middle-east/institutional/bio/larry-cohen/</t>
  </si>
  <si>
    <t>Laura Foll, CFA</t>
  </si>
  <si>
    <t>https://www.janushenderson.com/en-pt/advisor/bio/laura-foll/</t>
  </si>
  <si>
    <t>Lucas Klein</t>
  </si>
  <si>
    <t>Head of EMEA and Asia Pacific Equities</t>
  </si>
  <si>
    <t>Equity leadership EMEA &amp; Asia Pacific</t>
  </si>
  <si>
    <t>Europa / Asia Pacífico</t>
  </si>
  <si>
    <t>Gestión de equipos de renta variable</t>
  </si>
  <si>
    <t>https://www.janushenderson.com/en-us/advisor/bio/lucas-klein/</t>
  </si>
  <si>
    <t>Lucy Holden, CFA</t>
  </si>
  <si>
    <t>Diversified alternatives / quantitative</t>
  </si>
  <si>
    <t>Alternativos líquidos / multiestrategia cuantitativa</t>
  </si>
  <si>
    <t>https://www.janushenderson.com/en-hk/investor/bio/lucy-holden-cfa/</t>
  </si>
  <si>
    <t>Luke Newman</t>
  </si>
  <si>
    <t>Absolute return equities (long/short)</t>
  </si>
  <si>
    <t>Absolute Return Equity strategies</t>
  </si>
  <si>
    <t>https://www.janushenderson.com/en-no/advisor/bio/luke-newman/</t>
  </si>
  <si>
    <t>Marc Pinto, CFA</t>
  </si>
  <si>
    <t>Head of Americas Equities</t>
  </si>
  <si>
    <t>Americas equities leadership</t>
  </si>
  <si>
    <t>América</t>
  </si>
  <si>
    <t>Renta variable estadounidense / gestión de equipos</t>
  </si>
  <si>
    <t>https://www.janushenderson.com/en-hk/investor/bio/marc-pinto-cfa/</t>
  </si>
  <si>
    <t>Marc Schartz, CFA</t>
  </si>
  <si>
    <t>European equities (small &amp; mid caps)</t>
  </si>
  <si>
    <t>https://www.janushenderson.com/en-au/investor/bio/marc-schartz-cfa/</t>
  </si>
  <si>
    <t>Matthew Culley</t>
  </si>
  <si>
    <t>Renta variable emergente</t>
  </si>
  <si>
    <t>https://www.janushenderson.com/en-hk/investor/bio/matthew-culley/</t>
  </si>
  <si>
    <t>Megan Podzorov</t>
  </si>
  <si>
    <t>Chief People Officer</t>
  </si>
  <si>
    <t>People / HR leadership</t>
  </si>
  <si>
    <t>Recursos humanos / talento</t>
  </si>
  <si>
    <t>https://www.janushenderson.com/en-us/advisor/bio/megan-podzorov/</t>
  </si>
  <si>
    <t>Michael Keough</t>
  </si>
  <si>
    <t>Corporate credit &amp; Core Plus</t>
  </si>
  <si>
    <t>Corporate Credit &amp; Core Plus strategies</t>
  </si>
  <si>
    <t>https://www.janushenderson.com/en-ch/investor/bio/michael-keough/</t>
  </si>
  <si>
    <t>Michael Schweitzer</t>
  </si>
  <si>
    <t>Head of North America and Asia Pacific Client Group</t>
  </si>
  <si>
    <t>Client group leadership North America &amp; APAC</t>
  </si>
  <si>
    <t>América / Asia Pacífico</t>
  </si>
  <si>
    <t>Distribución / clientes institucionales</t>
  </si>
  <si>
    <t>https://www.janushenderson.com/de-ch/advisor/bio/michael-schweitzer/</t>
  </si>
  <si>
    <t>Michelle Rosenberg</t>
  </si>
  <si>
    <t>Chief Administrative Officer and General Counsel</t>
  </si>
  <si>
    <t>Legal &amp; administrative leadership</t>
  </si>
  <si>
    <t>Asuntos legales / gobierno corporativo</t>
  </si>
  <si>
    <t>https://www.janushendersoncharitable.org/bio/michelle-rosenberg/</t>
  </si>
  <si>
    <t>Natasha Sibley, CFA</t>
  </si>
  <si>
    <t>https://www.janushenderson.com/en-us/advisor/bio/natasha-sibley-cfa/</t>
  </si>
  <si>
    <t>Nicholas Ware</t>
  </si>
  <si>
    <t>Global bonds / strategic fixed income</t>
  </si>
  <si>
    <t>Strategic bond / crédito global</t>
  </si>
  <si>
    <t>Strategic Bond &amp; Global Bond strategies</t>
  </si>
  <si>
    <t>https://www.janushenderson.com/en-gb/adviser/bio/nicholas-ware/</t>
  </si>
  <si>
    <t>Nick Childs, CFA</t>
  </si>
  <si>
    <t>Head of Structured and Quantitative Fixed Income | Portfolio Manager</t>
  </si>
  <si>
    <t>Structured &amp; quantitative fixed income / securitised credit</t>
  </si>
  <si>
    <t>Renta fija estructurada / titulizaciones</t>
  </si>
  <si>
    <t>Structured &amp; Quantitative Fixed Income and Securitised Credit strategies</t>
  </si>
  <si>
    <t>https://www.janushenderson.com/en-us/advisor/bio/nick-childs-cfa/</t>
  </si>
  <si>
    <t>Nick Harper, CFA</t>
  </si>
  <si>
    <t>Multi-asset risk-managed portfolios</t>
  </si>
  <si>
    <t>Multiactivo / asignación de activos</t>
  </si>
  <si>
    <t>https://www.janushenderson.com/en-gb/adviser/bio/nick-harper-cfa/</t>
  </si>
  <si>
    <t>Nick Sheridan</t>
  </si>
  <si>
    <t>European equities &amp; global smaller companies</t>
  </si>
  <si>
    <t>Europa / Global</t>
  </si>
  <si>
    <t>Renta variable europea y small caps globales</t>
  </si>
  <si>
    <t>Global Smaller Companies &amp; European Equities strategies</t>
  </si>
  <si>
    <t>https://www.janushenderson.com/en-gb/adviser/bio/nick-sheridan/</t>
  </si>
  <si>
    <t>Nicolas Scherf</t>
  </si>
  <si>
    <t>https://www.janushenderson.com/en-us/advisor/bio/nicolas-scherf/</t>
  </si>
  <si>
    <t>Oliver Bardot, CFA</t>
  </si>
  <si>
    <t>Bonos globales / crédito IG y HY</t>
  </si>
  <si>
    <t>https://www.janushenderson.com/corporate/bio/oliver-bardot-cfa/</t>
  </si>
  <si>
    <t>Ollie Beckett</t>
  </si>
  <si>
    <t>European equities / small &amp; mid cap</t>
  </si>
  <si>
    <t>Renta variable europea / small caps</t>
  </si>
  <si>
    <t>https://www.janushenderson.com/corporate/bio/ollie-beckett/</t>
  </si>
  <si>
    <t>Priyank Shah</t>
  </si>
  <si>
    <t>Renta fija corto plazo / gestión de tipos y divisas</t>
  </si>
  <si>
    <t>https://www.janushenderson.com/en-gb/investor/bio/priyank-shah/</t>
  </si>
  <si>
    <t>Richard Clode, CFA</t>
  </si>
  <si>
    <t>https://www.janushenderson.com/en-gb/investor/bio/richard-clode/</t>
  </si>
  <si>
    <t>Robert Roszkowski</t>
  </si>
  <si>
    <t>Renta fija corto plazo / modelos cuantitativos</t>
  </si>
  <si>
    <t>https://www.janushenderson.com/en-us/institutional/bio/robert-roszkowski/</t>
  </si>
  <si>
    <t>Robert Schramm-Fuchs</t>
  </si>
  <si>
    <t>European large-cap equities</t>
  </si>
  <si>
    <t>Renta variable europea / large cap</t>
  </si>
  <si>
    <t>European Large Cap Equities strategies</t>
  </si>
  <si>
    <t>https://www.janushenderson.com/en-gb/investor/bio/robert-schramm-fuchs/</t>
  </si>
  <si>
    <t>Rory Stokes, CFA</t>
  </si>
  <si>
    <t>https://www.janushenderson.com/latam-other/advisor/bio/rory-stokes-cfa/</t>
  </si>
  <si>
    <t>Sat Duhra</t>
  </si>
  <si>
    <t>Asia ex Japan equities</t>
  </si>
  <si>
    <t>Asia Pacífico (ex Japón)</t>
  </si>
  <si>
    <t>Renta variable asiática</t>
  </si>
  <si>
    <t>Asia ex Japan Equity strategies</t>
  </si>
  <si>
    <t>https://www.janushenderson.com/en-gb/adviser/bio/sat-duhra/</t>
  </si>
  <si>
    <t>Scott Stutzman, CFA</t>
  </si>
  <si>
    <t>US small/mid-cap growth equities</t>
  </si>
  <si>
    <t>Small &amp; mid cap growth / industriales y materiales</t>
  </si>
  <si>
    <t>US Small/Mid-Cap Growth strategies</t>
  </si>
  <si>
    <t>https://www.janushenderson.com/en-us/advisor/bio/scott-stutzman-cfa/</t>
  </si>
  <si>
    <t>Seth Meyer, CFA</t>
  </si>
  <si>
    <t>Global Head of Client Portfolio Management | Portfolio Manager</t>
  </si>
  <si>
    <t>Renta variable / Renta fija</t>
  </si>
  <si>
    <t>Client portfolio management (equity &amp; FI)</t>
  </si>
  <si>
    <t>Comunicación con clientes / estrategia comercial multi-clase de activo</t>
  </si>
  <si>
    <t>https://www.janushenderson.com/en-us/advisor/bio/seth-meyer-cfa/</t>
  </si>
  <si>
    <t>Shan Kwee, CFA</t>
  </si>
  <si>
    <t>Australian fixed interest / credit ESG</t>
  </si>
  <si>
    <t>Renta fija australiana / crédito ESG</t>
  </si>
  <si>
    <t>https://www.janushenderson.com/en-us/advisor/bio/shan-kwee-cfa/</t>
  </si>
  <si>
    <t>Shivam Sedani, CFA</t>
  </si>
  <si>
    <t>Renta variable británica</t>
  </si>
  <si>
    <t>UK Equities strategies</t>
  </si>
  <si>
    <t>https://www.janushenderson.com/en-gb/investor/bio/shivam-sedani/</t>
  </si>
  <si>
    <t>Sorin Pirău, CFA</t>
  </si>
  <si>
    <t>https://www.janushenderson.com/corporate/bio/sorin-pirau-cfa/</t>
  </si>
  <si>
    <t>Taf Mugwagwa, PhD</t>
  </si>
  <si>
    <t>Renta fija australiana / duración y crédito</t>
  </si>
  <si>
    <t>https://www.janushenderson.com/en-au/investor/bio/taf-mugwagwa/</t>
  </si>
  <si>
    <t>Tal Lomnitzer, CFA</t>
  </si>
  <si>
    <t>Senior Investment Manager</t>
  </si>
  <si>
    <t>ESG / sostenibilidad / recursos naturales</t>
  </si>
  <si>
    <t>https://www.janushenderson.com/en-au/adviser/bio/tal-lomnitzer-cfa/</t>
  </si>
  <si>
    <t>Thomas Haugaard</t>
  </si>
  <si>
    <t>https://www.janushenderson.com/en-be/advisor/bio/thomas-haugaard/</t>
  </si>
  <si>
    <t>Tihana Ibrahimpasic, CFA</t>
  </si>
  <si>
    <t>Multi-asset</t>
  </si>
  <si>
    <t>Multiactivo / asignación táctica de activos</t>
  </si>
  <si>
    <t>https://www.janushenderson.com/en-ie/advisor/bio/tihana-ibrahimpasic-cfa/</t>
  </si>
  <si>
    <t>Tim Gibson</t>
  </si>
  <si>
    <t>Asia Pacífico / Global</t>
  </si>
  <si>
    <t>Inmobiliario cotizado global / Asia</t>
  </si>
  <si>
    <t>https://www.janushenderson.com/en-us/investor/bio/tim-gibson/</t>
  </si>
  <si>
    <t>Tom Ross, CFA</t>
  </si>
  <si>
    <t>Head of High Yield | Portfolio Manager</t>
  </si>
  <si>
    <t>Global high yield credit</t>
  </si>
  <si>
    <t>High yield / crédito especulativo</t>
  </si>
  <si>
    <t>High Yield strategies</t>
  </si>
  <si>
    <t>https://www.janushenderson.com/en-gb/investor/bio/tom-ross/</t>
  </si>
  <si>
    <t>Victoria Mio, CFA</t>
  </si>
  <si>
    <t>Head of Greater China Equities &amp; Portfolio Manager</t>
  </si>
  <si>
    <t>Greater China equities</t>
  </si>
  <si>
    <t>China / Asia</t>
  </si>
  <si>
    <t>Renta variable China / mercados emergentes asiáticos</t>
  </si>
  <si>
    <t>Greater China Equities strategies</t>
  </si>
  <si>
    <t>Xin Yan Low</t>
  </si>
  <si>
    <t>Global property equities / ASEAN</t>
  </si>
  <si>
    <t>Inmobiliario cotizado Asia-Pacífico</t>
  </si>
  <si>
    <t>https://www.janushenderson.com/en-sg/investor/bio/xin-yan-low/</t>
  </si>
  <si>
    <t>Yunyoung Lee, CFA</t>
  </si>
  <si>
    <t>Japanese equities (small cap)</t>
  </si>
  <si>
    <t>Renta variable japonesa / small cap</t>
  </si>
  <si>
    <t>Japanese Equities strategies</t>
  </si>
  <si>
    <t>https://www.janushenderson.com/en-gb/adviser/bio/yunyoung-lee-cfa/</t>
  </si>
  <si>
    <t>Zoey Zhu, CFA</t>
  </si>
  <si>
    <t>Quantitative solutions / factor strategies</t>
  </si>
  <si>
    <t>Renta variable cuantitativa / factor investing</t>
  </si>
  <si>
    <t>https://www.janushenderson.com/en-hk/investor/bio/zoey-zhu-cfa/</t>
  </si>
  <si>
    <t>William Cassidy</t>
  </si>
  <si>
    <t>Chief Technology Officer</t>
  </si>
  <si>
    <t>Tecnología e infraestructura corporativa</t>
  </si>
  <si>
    <t>Estrategia tecnológica / innovación / datos</t>
  </si>
  <si>
    <t>https://www.janushenderson.com/en/row/bio/william-cassidy/</t>
  </si>
  <si>
    <t>Directorio de gestores y analistas — Janus Henderson</t>
  </si>
  <si>
    <t>Búsqueda rápida para peticiones de prensa. Filtra arriba o usa los menús de la tabla.</t>
  </si>
  <si>
    <t>Nombre contiene</t>
  </si>
  <si>
    <t>Clase de activo</t>
  </si>
  <si>
    <t>Sub-clase / estilo</t>
  </si>
  <si>
    <t>Región</t>
  </si>
  <si>
    <t>Temática contiene</t>
  </si>
  <si>
    <t>Tipo de rol</t>
  </si>
  <si>
    <t>(deja en blanco para 'cualquiera')</t>
  </si>
  <si>
    <t>Nombre</t>
  </si>
  <si>
    <t>Rol oficial</t>
  </si>
  <si>
    <t>Sub-clase</t>
  </si>
  <si>
    <t>Temática</t>
  </si>
  <si>
    <t>Fondo</t>
  </si>
  <si>
    <t>Bio</t>
  </si>
  <si>
    <t>Fondo (URL)</t>
  </si>
  <si>
    <t>Directorio completo (usa los menús de columna para filtrar)</t>
  </si>
  <si>
    <t>Tipo rol</t>
  </si>
  <si>
    <t>ISIN / ticker</t>
  </si>
  <si>
    <t>URL bio</t>
  </si>
  <si>
    <t>URL fondo</t>
  </si>
  <si>
    <t>Resultados:</t>
  </si>
  <si>
    <t>Perfil ejecutivo</t>
  </si>
  <si>
    <t>Portfolio Manager + Analista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</si>
</sst>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b/>
      <sz val="14"/>
      <color rgb="FF1F386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0" fillId="4" borderId="4" xfId="0" applyFill="1" applyBorder="1"/>
    <xf numFmtId="0" fontId="5" fillId="0" borderId="0" xfId="0" applyFont="1"/>
    <xf numFmtId="0" fontId="4" fillId="5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right"/>
    </xf>
    <xf numFmtId="0" fontId="7" fillId="0" borderId="0" xfId="0" applyFont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Normal" xfId="0" builtinId="0"/>
  </cellStyles>
  <dxfs count="8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4B23225-0B7A-4B3C-9A68-F82F70805E2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8" xr16:uid="{8AE669C6-39FA-4DF6-8503-ECD5CA9A14A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7" xr16:uid="{08EBE0A9-58A2-4D7C-BEC8-6E4BA5768C1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4994FC7B-3288-42C1-A725-F0C3C4DF9F0C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7DE65367-ACE7-4CC9-B6CD-DCD865D7003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7F9ECD59-157A-4F79-8992-00D762272EA4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C981F727-A0E4-4051-812A-92248E1CBC88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6082BE-7A64-444C-BBE9-C4E8117DA3B9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D6CE4B-12CE-4B33-A852-DD6C399AADE3}" name="Directorio" displayName="Directorio" ref="A148:K279" totalsRowShown="0">
  <autoFilter ref="A148:K279" xr:uid="{6AD6CE4B-12CE-4B33-A852-DD6C399AADE3}"/>
  <tableColumns count="11">
    <tableColumn id="1" xr3:uid="{F9A694E6-1005-4687-B542-6948B5825162}" name="Nombre">
      <calculatedColumnFormula>IFERROR(IF(JHers!A3="","",JHers!A3),"")</calculatedColumnFormula>
    </tableColumn>
    <tableColumn id="2" xr3:uid="{4DEB8E2B-67E6-4CF0-B3F6-6CA4589294B7}" name="Rol oficial">
      <calculatedColumnFormula>IFERROR(IF(JHers!B3="","",JHers!B3),"")</calculatedColumnFormula>
    </tableColumn>
    <tableColumn id="3" xr3:uid="{8771CBEA-D719-4268-92D2-EF991D49B4EE}" name="Tipo rol">
      <calculatedColumnFormula>IFERROR(IF(JHers!C3="","",JHers!C3),"")</calculatedColumnFormula>
    </tableColumn>
    <tableColumn id="4" xr3:uid="{8F7C21AC-2083-49A7-919E-F12D01AEC62B}" name="Clase de activo">
      <calculatedColumnFormula>IFERROR(IF(JHers!D3="","",JHers!D3),"")</calculatedColumnFormula>
    </tableColumn>
    <tableColumn id="5" xr3:uid="{847F3CDD-FB76-41CB-9320-525D06EEEB4C}" name="Sub-clase / estilo">
      <calculatedColumnFormula>IFERROR(IF(JHers!E3="","",JHers!E3),"")</calculatedColumnFormula>
    </tableColumn>
    <tableColumn id="6" xr3:uid="{8938E6EC-16C1-4160-9894-AE65DF73DB94}" name="Región">
      <calculatedColumnFormula>IFERROR(IF(JHers!F3="","",JHers!F3),"")</calculatedColumnFormula>
    </tableColumn>
    <tableColumn id="7" xr3:uid="{1B004F81-B575-4E45-A22A-C47CE5C5D9E5}" name="Temática">
      <calculatedColumnFormula>IFERROR(IF(JHers!G3="","",JHers!G3),"")</calculatedColumnFormula>
    </tableColumn>
    <tableColumn id="8" xr3:uid="{F60585E9-552E-4CF7-9486-BE774FD6411A}" name="Fondo">
      <calculatedColumnFormula>IFERROR(IF(JHers!H3="","",JHers!H3),"")</calculatedColumnFormula>
    </tableColumn>
    <tableColumn id="9" xr3:uid="{A8C213DB-FD17-472D-818E-44D87F070338}" name="ISIN / ticker">
      <calculatedColumnFormula>IFERROR(IF(JHers!I3="","",JHers!I3),"")</calculatedColumnFormula>
    </tableColumn>
    <tableColumn id="10" xr3:uid="{F59BFC0A-601D-4170-B902-700EFA93F59E}" name="URL bio">
      <calculatedColumnFormula>IFERROR(IF(JHers!J3="","",JHers!J3),"")</calculatedColumnFormula>
    </tableColumn>
    <tableColumn id="11" xr3:uid="{D35F3EEB-EF1C-4B88-B41C-EB0CDB9DBC72}" name="URL fondo">
      <calculatedColumnFormula>IFERROR(IF(JHers!K3="","",JHers!K3),"")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9A2BCF-893A-43D0-BD25-DBA3AA8DBEAF}" name="JH_Lote19" displayName="JH_Lote19" ref="A1:K132" tableType="queryTable" totalsRowShown="0">
  <autoFilter ref="A1:K132" xr:uid="{8FD3F782-B7E6-4B85-9027-FD5D0A1FF6AD}"/>
  <tableColumns count="11">
    <tableColumn id="1" xr3:uid="{C126BD32-135C-4FB8-8080-860F3BA7799C}" uniqueName="1" name="Column1" queryTableFieldId="1" dataDxfId="87"/>
    <tableColumn id="2" xr3:uid="{12D37F89-3D86-439A-B448-6295B9ECB001}" uniqueName="2" name="Column2" queryTableFieldId="2" dataDxfId="86"/>
    <tableColumn id="3" xr3:uid="{2521F084-6A7F-4FDC-8F2D-378B0E596692}" uniqueName="3" name="Column3" queryTableFieldId="3" dataDxfId="85"/>
    <tableColumn id="4" xr3:uid="{4A1A9D51-0E6C-4808-B9CD-ABC5B257BC39}" uniqueName="4" name="Column4" queryTableFieldId="4" dataDxfId="84"/>
    <tableColumn id="5" xr3:uid="{08BD923E-19D6-46D3-B969-F0D776D1967B}" uniqueName="5" name="Column5" queryTableFieldId="5" dataDxfId="83"/>
    <tableColumn id="6" xr3:uid="{E5BAFF3D-9223-46B2-B106-C455EB28AE42}" uniqueName="6" name="Column6" queryTableFieldId="6" dataDxfId="82"/>
    <tableColumn id="7" xr3:uid="{623B83D1-3AA2-46AC-8171-DEF1C4D56924}" uniqueName="7" name="Column7" queryTableFieldId="7" dataDxfId="81"/>
    <tableColumn id="8" xr3:uid="{33AF8808-4E72-43A5-A114-04700677E9DC}" uniqueName="8" name="Column8" queryTableFieldId="8" dataDxfId="80"/>
    <tableColumn id="9" xr3:uid="{CBAD8721-917F-48FA-BF73-E38AA34DF032}" uniqueName="9" name="Column9" queryTableFieldId="9" dataDxfId="79"/>
    <tableColumn id="10" xr3:uid="{7B0E703D-79CA-4F16-93DA-6BFB2A354076}" uniqueName="10" name="Column10" queryTableFieldId="10" dataDxfId="78"/>
    <tableColumn id="11" xr3:uid="{1B322543-918C-432A-ADE0-2DC0360892F7}" uniqueName="11" name="Column11" queryTableFieldId="11" dataDxfId="7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E1BBCA-4400-4525-9AF6-7D4481C166CD}" name="JH_Lote7" displayName="JH_Lote7" ref="A1:K26" tableType="queryTable" totalsRowShown="0">
  <autoFilter ref="A1:K26" xr:uid="{2CE1BBCA-4400-4525-9AF6-7D4481C166CD}"/>
  <tableColumns count="11">
    <tableColumn id="1" xr3:uid="{A772324E-35F9-4B82-AB87-8875B7C5147C}" uniqueName="1" name="Column1" queryTableFieldId="1" dataDxfId="76"/>
    <tableColumn id="2" xr3:uid="{EF66710A-FD46-4DF8-B1FC-55832B6EA6F6}" uniqueName="2" name="Column2" queryTableFieldId="2" dataDxfId="75"/>
    <tableColumn id="3" xr3:uid="{5E1527AF-0B9A-4FFD-84DF-A656CF49BC61}" uniqueName="3" name="Column3" queryTableFieldId="3" dataDxfId="74"/>
    <tableColumn id="4" xr3:uid="{F83D6E60-F075-4007-A5F0-02AA57DD0CDE}" uniqueName="4" name="Column4" queryTableFieldId="4" dataDxfId="73"/>
    <tableColumn id="5" xr3:uid="{69E6B7B3-621D-4F6D-BF9D-8EF411B88FFC}" uniqueName="5" name="Column5" queryTableFieldId="5" dataDxfId="72"/>
    <tableColumn id="6" xr3:uid="{17993050-B60E-4A31-85FB-057F32C97121}" uniqueName="6" name="Column6" queryTableFieldId="6" dataDxfId="71"/>
    <tableColumn id="7" xr3:uid="{1A49CD6E-D97A-40CD-9556-A8038346E980}" uniqueName="7" name="Column7" queryTableFieldId="7" dataDxfId="70"/>
    <tableColumn id="8" xr3:uid="{6E758863-8260-4BBA-8DF4-E9A505F9AFE4}" uniqueName="8" name="Column8" queryTableFieldId="8" dataDxfId="69"/>
    <tableColumn id="9" xr3:uid="{448DDA06-9B33-4EE6-89A9-C6AC2D128D3A}" uniqueName="9" name="Column9" queryTableFieldId="9" dataDxfId="68"/>
    <tableColumn id="10" xr3:uid="{0979954B-7FA6-405F-9C2E-9646D73DD350}" uniqueName="10" name="Column10" queryTableFieldId="10" dataDxfId="67"/>
    <tableColumn id="11" xr3:uid="{6C73414A-EAE3-4AC6-B40D-C50A2D36FD99}" uniqueName="11" name="Column11" queryTableFieldId="11" dataDxfId="6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5E470E-C75D-4D9D-A779-45C50BB8927D}" name="JH_Lote6" displayName="JH_Lote6" ref="A1:K36" tableType="queryTable" totalsRowShown="0">
  <autoFilter ref="A1:K36" xr:uid="{A95E470E-C75D-4D9D-A779-45C50BB8927D}"/>
  <tableColumns count="11">
    <tableColumn id="1" xr3:uid="{5FDB4EE9-7161-4107-947B-DC605BDD33F9}" uniqueName="1" name="Column1" queryTableFieldId="1" dataDxfId="65"/>
    <tableColumn id="2" xr3:uid="{22371684-3C92-4169-808C-01CAF2777843}" uniqueName="2" name="Column2" queryTableFieldId="2" dataDxfId="64"/>
    <tableColumn id="3" xr3:uid="{7D142212-F81A-4BF6-8268-E9FA91A52B15}" uniqueName="3" name="Column3" queryTableFieldId="3" dataDxfId="63"/>
    <tableColumn id="4" xr3:uid="{DD072180-44F9-4FC6-817D-8365B10123F0}" uniqueName="4" name="Column4" queryTableFieldId="4" dataDxfId="62"/>
    <tableColumn id="5" xr3:uid="{E38A64B2-35F7-4BE2-A773-6C988A902AAE}" uniqueName="5" name="Column5" queryTableFieldId="5" dataDxfId="61"/>
    <tableColumn id="6" xr3:uid="{26E3F3E5-37D2-46BF-BED0-046A4D232C7B}" uniqueName="6" name="Column6" queryTableFieldId="6" dataDxfId="60"/>
    <tableColumn id="7" xr3:uid="{CDF499A2-D25E-4DC4-B823-1E4BD9E6CADF}" uniqueName="7" name="Column7" queryTableFieldId="7" dataDxfId="59"/>
    <tableColumn id="8" xr3:uid="{D64DD4A3-CA09-40DC-83FE-9042D72DF88B}" uniqueName="8" name="Column8" queryTableFieldId="8" dataDxfId="58"/>
    <tableColumn id="9" xr3:uid="{005333BD-0B62-4D65-BEF1-BF8627AFAF80}" uniqueName="9" name="Column9" queryTableFieldId="9" dataDxfId="57"/>
    <tableColumn id="10" xr3:uid="{760AB5E7-867E-407E-9FC3-43969332A49A}" uniqueName="10" name="Column10" queryTableFieldId="10" dataDxfId="56"/>
    <tableColumn id="11" xr3:uid="{EB8F6F27-844F-4BD0-BAB4-6E750E5CE5F9}" uniqueName="11" name="Column11" queryTableFieldId="11" dataDxfId="5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B0CE36-E227-4B37-A64F-3F854B20A1F2}" name="JH_Lote5" displayName="JH_Lote5" ref="A1:K28" tableType="queryTable" totalsRowShown="0">
  <autoFilter ref="A1:K28" xr:uid="{35B0CE36-E227-4B37-A64F-3F854B20A1F2}"/>
  <tableColumns count="11">
    <tableColumn id="1" xr3:uid="{0548E1C6-D936-4FB3-ACA0-8BA5956DED4C}" uniqueName="1" name="Column1" queryTableFieldId="1" dataDxfId="54"/>
    <tableColumn id="2" xr3:uid="{39AEB477-7A19-46D0-B7B8-C7D20BFE63D7}" uniqueName="2" name="Column2" queryTableFieldId="2" dataDxfId="53"/>
    <tableColumn id="3" xr3:uid="{1583A6C5-3FE0-493E-8BCE-BD0C0F1E54D7}" uniqueName="3" name="Column3" queryTableFieldId="3" dataDxfId="52"/>
    <tableColumn id="4" xr3:uid="{9B390351-72EC-46B0-923D-85AFE5C000E4}" uniqueName="4" name="Column4" queryTableFieldId="4" dataDxfId="51"/>
    <tableColumn id="5" xr3:uid="{1F018325-511A-470A-9B15-164E2042EA87}" uniqueName="5" name="Column5" queryTableFieldId="5" dataDxfId="50"/>
    <tableColumn id="6" xr3:uid="{369A3371-16F7-4D4E-A811-2816A4018E39}" uniqueName="6" name="Column6" queryTableFieldId="6" dataDxfId="49"/>
    <tableColumn id="7" xr3:uid="{FD1692A7-3F39-4993-9693-895680F1EBA1}" uniqueName="7" name="Column7" queryTableFieldId="7" dataDxfId="48"/>
    <tableColumn id="8" xr3:uid="{C126F83A-D940-4ACD-91B5-0100C996AFA3}" uniqueName="8" name="Column8" queryTableFieldId="8" dataDxfId="47"/>
    <tableColumn id="9" xr3:uid="{C63F85CD-EE10-447E-8647-6E1346573CAD}" uniqueName="9" name="Column9" queryTableFieldId="9" dataDxfId="46"/>
    <tableColumn id="10" xr3:uid="{7BD66374-CE40-4933-8CD2-1BAA5EDC5F7E}" uniqueName="10" name="Column10" queryTableFieldId="10" dataDxfId="45"/>
    <tableColumn id="11" xr3:uid="{06F5D232-4273-4297-8200-6A0710258AE2}" uniqueName="11" name="Column11" queryTableFieldId="11" dataDxfId="4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68DFB6-EB1B-4850-A957-9E9688400217}" name="JH_lote4" displayName="JH_lote4" ref="A1:K12" tableType="queryTable" totalsRowShown="0">
  <autoFilter ref="A1:K12" xr:uid="{A868DFB6-EB1B-4850-A957-9E9688400217}"/>
  <tableColumns count="11">
    <tableColumn id="1" xr3:uid="{F2C832DA-BD82-4B6D-98A7-7677A4E87D01}" uniqueName="1" name="Column1" queryTableFieldId="1" dataDxfId="43"/>
    <tableColumn id="2" xr3:uid="{8EE50004-1435-4DD8-898E-E354FE34AA71}" uniqueName="2" name="Column2" queryTableFieldId="2" dataDxfId="42"/>
    <tableColumn id="3" xr3:uid="{1B1F242A-88A4-4D99-8DD8-3513CFA16D46}" uniqueName="3" name="Column3" queryTableFieldId="3" dataDxfId="41"/>
    <tableColumn id="4" xr3:uid="{90FBA40C-8D49-42D5-88F1-E21F5B8D0B15}" uniqueName="4" name="Column4" queryTableFieldId="4" dataDxfId="40"/>
    <tableColumn id="5" xr3:uid="{920B1A81-7DDB-424C-8085-CCFC2AC21486}" uniqueName="5" name="Column5" queryTableFieldId="5" dataDxfId="39"/>
    <tableColumn id="6" xr3:uid="{5EE5D6DE-40C3-425B-80CE-CA29039B1712}" uniqueName="6" name="Column6" queryTableFieldId="6" dataDxfId="38"/>
    <tableColumn id="7" xr3:uid="{EC67040D-37B4-4AF5-BE45-18E590AE201A}" uniqueName="7" name="Column7" queryTableFieldId="7" dataDxfId="37"/>
    <tableColumn id="8" xr3:uid="{9DD87B15-A782-408F-A9D4-1E8DBF03F9ED}" uniqueName="8" name="Column8" queryTableFieldId="8" dataDxfId="36"/>
    <tableColumn id="9" xr3:uid="{54E5F9D1-C69C-4C9A-BF85-0ABB9EDEBBE4}" uniqueName="9" name="Column9" queryTableFieldId="9" dataDxfId="35"/>
    <tableColumn id="10" xr3:uid="{A75552E7-31B1-437E-926B-0738FEE8C03F}" uniqueName="10" name="Column10" queryTableFieldId="10" dataDxfId="34"/>
    <tableColumn id="11" xr3:uid="{AD7077DE-3A31-4D35-8484-21CD3E4FAC9F}" uniqueName="11" name="Column11" queryTableFieldId="11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569DA6-F5D1-4BC7-A7C1-73F0EE24C56E}" name="JH_lote3" displayName="JH_lote3" ref="A1:K12" tableType="queryTable" totalsRowShown="0">
  <autoFilter ref="A1:K12" xr:uid="{80569DA6-F5D1-4BC7-A7C1-73F0EE24C56E}"/>
  <tableColumns count="11">
    <tableColumn id="1" xr3:uid="{918F33ED-6611-47B1-9BDD-4907AF586BDF}" uniqueName="1" name="Column1" queryTableFieldId="1" dataDxfId="32"/>
    <tableColumn id="2" xr3:uid="{33BFB1A4-86D2-49FA-8E49-9D956E77D4E0}" uniqueName="2" name="Column2" queryTableFieldId="2" dataDxfId="31"/>
    <tableColumn id="3" xr3:uid="{CAAC6F58-1464-4B23-BD53-56C465FEF282}" uniqueName="3" name="Column3" queryTableFieldId="3" dataDxfId="30"/>
    <tableColumn id="4" xr3:uid="{8E49BE74-2A2F-4C56-A301-9C6DF166F89A}" uniqueName="4" name="Column4" queryTableFieldId="4" dataDxfId="29"/>
    <tableColumn id="5" xr3:uid="{81A09E84-A5B4-4718-B3DD-4CB2F40D9DAC}" uniqueName="5" name="Column5" queryTableFieldId="5" dataDxfId="28"/>
    <tableColumn id="6" xr3:uid="{139FAD85-C0BC-4A41-BE6B-556D5D851883}" uniqueName="6" name="Column6" queryTableFieldId="6" dataDxfId="27"/>
    <tableColumn id="7" xr3:uid="{91C7A193-87BB-4D3D-8C5C-430E777AB7EC}" uniqueName="7" name="Column7" queryTableFieldId="7" dataDxfId="26"/>
    <tableColumn id="8" xr3:uid="{77624F8E-5EC0-45D0-A9D9-CDE2DBABF55E}" uniqueName="8" name="Column8" queryTableFieldId="8" dataDxfId="25"/>
    <tableColumn id="9" xr3:uid="{2027095D-2A7E-4978-8A9E-AF78712FFEEF}" uniqueName="9" name="Column9" queryTableFieldId="9" dataDxfId="24"/>
    <tableColumn id="10" xr3:uid="{531D4B32-F06C-4609-B964-B485935CCE92}" uniqueName="10" name="Column10" queryTableFieldId="10" dataDxfId="23"/>
    <tableColumn id="11" xr3:uid="{4E9C7968-6539-4887-B8F9-19F5EFDF21C9}" uniqueName="11" name="Column11" queryTableFieldId="11" dataDxfId="2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66337-5262-4679-9DE4-CA395980B256}" name="JH_lote2" displayName="JH_lote2" ref="A1:K16" tableType="queryTable" totalsRowShown="0">
  <autoFilter ref="A1:K16" xr:uid="{FE166337-5262-4679-9DE4-CA395980B256}"/>
  <tableColumns count="11">
    <tableColumn id="1" xr3:uid="{12AEE010-4BEE-46E8-A941-6F603FD53610}" uniqueName="1" name="Column1" queryTableFieldId="1" dataDxfId="21"/>
    <tableColumn id="2" xr3:uid="{EEB98BDF-33A7-4D97-B110-5B59A39B4AD3}" uniqueName="2" name="Column2" queryTableFieldId="2" dataDxfId="20"/>
    <tableColumn id="3" xr3:uid="{4CC520DC-5214-4A6B-93BB-15AA88EC68E2}" uniqueName="3" name="Column3" queryTableFieldId="3" dataDxfId="19"/>
    <tableColumn id="4" xr3:uid="{DD39FA55-4E7E-4D3B-A4AD-EC8F3F8D52B3}" uniqueName="4" name="Column4" queryTableFieldId="4" dataDxfId="18"/>
    <tableColumn id="5" xr3:uid="{6AD6944C-A33A-46EB-837D-76D49E0F82EB}" uniqueName="5" name="Column5" queryTableFieldId="5" dataDxfId="17"/>
    <tableColumn id="6" xr3:uid="{7F799DD7-9031-4C50-8234-201D293CCF13}" uniqueName="6" name="Column6" queryTableFieldId="6" dataDxfId="16"/>
    <tableColumn id="7" xr3:uid="{098E4622-9845-4BF4-9ED7-D78BDA355EF7}" uniqueName="7" name="Column7" queryTableFieldId="7" dataDxfId="15"/>
    <tableColumn id="8" xr3:uid="{1590A822-207B-42A6-B3D7-AA79519EDFCA}" uniqueName="8" name="Column8" queryTableFieldId="8" dataDxfId="14"/>
    <tableColumn id="9" xr3:uid="{8C50C694-49EC-4DA4-B3DC-0AA6829225B1}" uniqueName="9" name="Column9" queryTableFieldId="9" dataDxfId="13"/>
    <tableColumn id="10" xr3:uid="{B4960E1A-3B9C-40F9-AE5D-1CAFB0F6CED4}" uniqueName="10" name="Column10" queryTableFieldId="10" dataDxfId="12"/>
    <tableColumn id="11" xr3:uid="{3C35637C-9427-4E8B-B41F-008464E125E3}" uniqueName="11" name="Column11" queryTableFieldId="11" dataDxfId="1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3F782-B7E6-4B85-9027-FD5D0A1FF6AD}" name="JH_Lote1" displayName="JH_Lote1" ref="A1:K14" tableType="queryTable" totalsRowShown="0">
  <autoFilter ref="A1:K14" xr:uid="{8FD3F782-B7E6-4B85-9027-FD5D0A1FF6AD}"/>
  <tableColumns count="11">
    <tableColumn id="1" xr3:uid="{1FC2B496-DE99-4834-975F-D878E4CD8686}" uniqueName="1" name="Column1" queryTableFieldId="1" dataDxfId="10"/>
    <tableColumn id="2" xr3:uid="{F22FEBDA-6BD7-41C5-B4D1-1B98C8EB0B9F}" uniqueName="2" name="Column2" queryTableFieldId="2" dataDxfId="9"/>
    <tableColumn id="3" xr3:uid="{09459311-3331-41F6-879B-7180C70879B8}" uniqueName="3" name="Column3" queryTableFieldId="3" dataDxfId="8"/>
    <tableColumn id="4" xr3:uid="{20273649-677E-435A-86A5-5F61EE0DE237}" uniqueName="4" name="Column4" queryTableFieldId="4" dataDxfId="7"/>
    <tableColumn id="5" xr3:uid="{42B3403D-96E3-404F-AD52-F5CFB68A259D}" uniqueName="5" name="Column5" queryTableFieldId="5" dataDxfId="6"/>
    <tableColumn id="6" xr3:uid="{6E9D7453-47B1-4E62-A06C-7C65CB8C2C36}" uniqueName="6" name="Column6" queryTableFieldId="6" dataDxfId="5"/>
    <tableColumn id="7" xr3:uid="{A9EC4666-6252-4017-B601-36B6A0AD127D}" uniqueName="7" name="Column7" queryTableFieldId="7" dataDxfId="4"/>
    <tableColumn id="8" xr3:uid="{93BC2C29-B6ED-4387-A5DE-B67441D97683}" uniqueName="8" name="Column8" queryTableFieldId="8" dataDxfId="3"/>
    <tableColumn id="9" xr3:uid="{A2E452C7-5FDE-4DAF-9D88-51667FEB8654}" uniqueName="9" name="Column9" queryTableFieldId="9" dataDxfId="2"/>
    <tableColumn id="10" xr3:uid="{C864EE91-A3B9-470F-8CD4-4CE6A0AABB20}" uniqueName="10" name="Column10" queryTableFieldId="10" dataDxfId="1"/>
    <tableColumn id="11" xr3:uid="{828256E5-C459-4A33-9611-E6B9E2F7A372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D2DFDC-1B81-42B2-B59B-B05A24DE502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d6e50b12-1db5-4c84-a646-2bb2f85f7bb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7186-4A20-4F6A-9A38-699EFD931D5D}">
  <dimension ref="A1:K279"/>
  <sheetViews>
    <sheetView tabSelected="1" workbookViewId="0">
      <pane ySplit="9" topLeftCell="A10" activePane="bottomLeft" state="frozen"/>
      <selection pane="bottomLeft" activeCell="F5" sqref="F5"/>
    </sheetView>
  </sheetViews>
  <sheetFormatPr baseColWidth="10" defaultRowHeight="14.4" x14ac:dyDescent="0.3"/>
  <cols>
    <col min="1" max="1" width="24.33203125" customWidth="1"/>
    <col min="2" max="2" width="26.6640625" customWidth="1"/>
    <col min="3" max="3" width="21.21875" customWidth="1"/>
    <col min="4" max="4" width="17.5546875" customWidth="1"/>
    <col min="5" max="5" width="24.109375" customWidth="1"/>
    <col min="6" max="6" width="40.77734375" customWidth="1"/>
    <col min="7" max="7" width="44.44140625" customWidth="1"/>
    <col min="8" max="9" width="51.88671875" customWidth="1"/>
    <col min="10" max="11" width="37" customWidth="1"/>
  </cols>
  <sheetData>
    <row r="1" spans="1:9" ht="21" x14ac:dyDescent="0.4">
      <c r="A1" s="8" t="s">
        <v>614</v>
      </c>
      <c r="H1" s="15" t="s">
        <v>635</v>
      </c>
      <c r="I1" s="16">
        <f>IFERROR(ROWS(_xlfn.ANCHORARRAY(A9)),0)</f>
        <v>130</v>
      </c>
    </row>
    <row r="2" spans="1:9" x14ac:dyDescent="0.3">
      <c r="A2" s="9" t="s">
        <v>615</v>
      </c>
    </row>
    <row r="4" spans="1:9" x14ac:dyDescent="0.3">
      <c r="A4" s="10" t="s">
        <v>616</v>
      </c>
      <c r="B4" s="10" t="s">
        <v>617</v>
      </c>
      <c r="C4" s="10" t="s">
        <v>618</v>
      </c>
      <c r="D4" s="10" t="s">
        <v>619</v>
      </c>
      <c r="E4" s="10" t="s">
        <v>620</v>
      </c>
      <c r="F4" s="10" t="s">
        <v>621</v>
      </c>
    </row>
    <row r="5" spans="1:9" ht="22.05" customHeight="1" x14ac:dyDescent="0.3">
      <c r="A5" s="11"/>
      <c r="B5" s="11"/>
      <c r="C5" s="11"/>
      <c r="D5" s="11"/>
      <c r="E5" s="11"/>
      <c r="F5" s="11"/>
    </row>
    <row r="6" spans="1:9" x14ac:dyDescent="0.3">
      <c r="A6" s="12" t="s">
        <v>622</v>
      </c>
      <c r="B6" s="12"/>
      <c r="C6" s="12"/>
      <c r="D6" s="12"/>
      <c r="E6" s="12" t="s">
        <v>622</v>
      </c>
      <c r="F6" s="12"/>
    </row>
    <row r="8" spans="1:9" x14ac:dyDescent="0.3">
      <c r="A8" s="13" t="s">
        <v>623</v>
      </c>
      <c r="B8" s="13" t="s">
        <v>624</v>
      </c>
      <c r="C8" s="13" t="s">
        <v>617</v>
      </c>
      <c r="D8" s="13" t="s">
        <v>625</v>
      </c>
      <c r="E8" s="13" t="s">
        <v>619</v>
      </c>
      <c r="F8" s="13" t="s">
        <v>626</v>
      </c>
      <c r="G8" s="13" t="s">
        <v>627</v>
      </c>
      <c r="H8" s="13" t="s">
        <v>628</v>
      </c>
      <c r="I8" s="13" t="s">
        <v>629</v>
      </c>
    </row>
    <row r="9" spans="1:9" x14ac:dyDescent="0.3">
      <c r="A9" t="str" cm="1">
        <f t="array" ref="A9:I138">IFERROR(_xlfn.CHOOSECOLS(_xlfn._xlws.FILTER(JHers!A3:K132,(((A5="")+ISNUMBER(SEARCH(A5,JHers!A3:A132)))&gt;0)*(((B5="")+(JHers!D3:D132=B5))&gt;0)*(((C5="")+(JHers!E3:E132=C5))&gt;0)*(((D5="")+(JHers!F3:F132=D5))&gt;0)*(((E5="")+ISNUMBER(SEARCH(E5,JHers!G3:G132)))&gt;0)*(((F5="")+(JHers!C3:C132=F5))&gt;0),"Sin resultados"),1,2,4,5,6,7,8,10,11),"Sin resultados")</f>
        <v>Allan Maymin</v>
      </c>
      <c r="B9" t="str">
        <v>Co-Head of Global Asset Allocation | Portfolio Manager</v>
      </c>
      <c r="C9" t="str">
        <v>Multiactivo</v>
      </c>
      <c r="D9" t="str">
        <v>Global adaptive multi-asset allocation</v>
      </c>
      <c r="E9" t="str">
        <v>Global</v>
      </c>
      <c r="F9" t="str">
        <v>Asignación de activos / multiactivo cuantitativo</v>
      </c>
      <c r="G9" t="str">
        <v>Global Adaptive Multi-Asset Fund</v>
      </c>
      <c r="H9" t="str">
        <v>https://www.janushenderson.com/corporate/bio/allan-maymin/</v>
      </c>
      <c r="I9" t="str">
        <v>https://www.janushenderson.com/es-es/advisor/product/janus-henderson-global-adaptive-multi-asset-fund/</v>
      </c>
    </row>
    <row r="10" spans="1:9" x14ac:dyDescent="0.3">
      <c r="A10" t="str">
        <v>Daniel Sullivan</v>
      </c>
      <c r="B10" t="str">
        <v>Portfolio Manager (Head of Global Natural Resources)</v>
      </c>
      <c r="C10" t="str">
        <v>Renta variable</v>
      </c>
      <c r="D10" t="str">
        <v>Global natural resources equities</v>
      </c>
      <c r="E10" t="str">
        <v>Global</v>
      </c>
      <c r="F10" t="str">
        <v>Recursos naturales / energía / transición energética</v>
      </c>
      <c r="G10" t="str">
        <v>Global Natural Resources Fund</v>
      </c>
      <c r="H10" t="str">
        <v>https://www.janushenderson.com/corporate/bio/daniel-sullivan/</v>
      </c>
      <c r="I10" t="str">
        <v>https://www.janushenderson.com/en-au/adviser/product/janus-henderson-global-natural-resources-fund/</v>
      </c>
    </row>
    <row r="11" spans="1:9" x14ac:dyDescent="0.3">
      <c r="A11" t="str">
        <v>Darko Kuzmanovic</v>
      </c>
      <c r="B11" t="str">
        <v>Portfolio Manager (Global Natural Resources Team)</v>
      </c>
      <c r="C11" t="str">
        <v>Renta variable</v>
      </c>
      <c r="D11" t="str">
        <v>Global natural resources equities</v>
      </c>
      <c r="E11" t="str">
        <v>Global</v>
      </c>
      <c r="F11" t="str">
        <v>Recursos naturales / minería / energía</v>
      </c>
      <c r="G11" t="str">
        <v>Global Natural Resources Fund</v>
      </c>
      <c r="H11" t="str">
        <v>https://www.janushenderson.com/en-au/investor/bio/darko-kuzmanovic/</v>
      </c>
      <c r="I11" t="str">
        <v>https://www.janushenderson.com/en-au/adviser/product/janus-henderson-global-natural-resources-fund/</v>
      </c>
    </row>
    <row r="12" spans="1:9" x14ac:dyDescent="0.3">
      <c r="A12" t="str">
        <v>Dillan Shah, CFA</v>
      </c>
      <c r="B12" t="str">
        <v>Quantitative Research Analyst</v>
      </c>
      <c r="C12" t="str">
        <v>Renta fija</v>
      </c>
      <c r="D12" t="str">
        <v>Renta fija global cuantitativa</v>
      </c>
      <c r="E12" t="str">
        <v>Global</v>
      </c>
      <c r="F12" t="str">
        <v>Bonos globales / renta fija cuantitativa</v>
      </c>
      <c r="G12" t="str">
        <v>NO_DATO</v>
      </c>
      <c r="H12" t="str">
        <v>https://www.janushenderson.com/en-us/advisor/bio/dillan-shah/</v>
      </c>
      <c r="I12" t="str">
        <v>NO_DATO</v>
      </c>
    </row>
    <row r="13" spans="1:9" x14ac:dyDescent="0.3">
      <c r="A13" t="str">
        <v>James Briggs, CFA</v>
      </c>
      <c r="B13" t="str">
        <v>Portfolio Manager (Corporate Credit Team)</v>
      </c>
      <c r="C13" t="str">
        <v>Renta fija</v>
      </c>
      <c r="D13" t="str">
        <v>Crédito corporativo investment grade / Buy &amp; Maintain</v>
      </c>
      <c r="E13" t="str">
        <v>Global</v>
      </c>
      <c r="F13" t="str">
        <v>Crédito corporativo IG / carteras buy &amp; maintain / ESG en renta fija</v>
      </c>
      <c r="G13" t="str">
        <v>Global Investment Grade &amp; Buy and Maintain Credit Strategies</v>
      </c>
      <c r="H13" t="str">
        <v>https://www.janushenderson.com/en-gb/investor/bio/james-briggs-aca-cfa/</v>
      </c>
      <c r="I13" t="str">
        <v>NO_DATO</v>
      </c>
    </row>
    <row r="14" spans="1:9" x14ac:dyDescent="0.3">
      <c r="A14" t="str">
        <v>Mark Richardson</v>
      </c>
      <c r="B14" t="str">
        <v>Portfolio Manager (Diversified Alternatives Team)</v>
      </c>
      <c r="C14" t="str">
        <v>Alternativos</v>
      </c>
      <c r="D14" t="str">
        <v>Diversified alternatives / estrategias cuantitativas</v>
      </c>
      <c r="E14" t="str">
        <v>Global</v>
      </c>
      <c r="F14" t="str">
        <v>Alternativos líquidos / estrategias sistemáticas</v>
      </c>
      <c r="G14" t="str">
        <v>Diversified Alternatives quantitative strategies</v>
      </c>
      <c r="H14" t="str">
        <v>https://www.janushenderson.com/en-be/advisor/bio/mark-richardson-dphil/</v>
      </c>
      <c r="I14" t="str">
        <v>NO_DATO</v>
      </c>
    </row>
    <row r="15" spans="1:9" x14ac:dyDescent="0.3">
      <c r="A15" t="str">
        <v>Nick Schommer, CFA</v>
      </c>
      <c r="B15" t="str">
        <v>Portfolio Manager</v>
      </c>
      <c r="C15" t="str">
        <v>Renta variable</v>
      </c>
      <c r="D15" t="str">
        <v>US large/mid-cap growth</v>
      </c>
      <c r="E15" t="str">
        <v>Estados Unidos</v>
      </c>
      <c r="F15" t="str">
        <v>Renta variable estadounidense growth</v>
      </c>
      <c r="G15" t="str">
        <v>US Growth / related US equity growth strategies</v>
      </c>
      <c r="H15" t="str">
        <v>https://www.janushenderson.com/en-us/advisor/bio/nick-schommer-cfa/</v>
      </c>
      <c r="I15" t="str">
        <v>NO_DATO</v>
      </c>
    </row>
    <row r="16" spans="1:9" x14ac:dyDescent="0.3">
      <c r="A16" t="str">
        <v>Nick Schommer, CFA</v>
      </c>
      <c r="B16" t="str">
        <v>Portfolio Manager</v>
      </c>
      <c r="C16" t="str">
        <v>Renta variable</v>
      </c>
      <c r="D16" t="str">
        <v>US mid-cap blend / contrarian</v>
      </c>
      <c r="E16" t="str">
        <v>Estados Unidos</v>
      </c>
      <c r="F16" t="str">
        <v>Renta variable estadounidense / enfoque contrarian</v>
      </c>
      <c r="G16" t="str">
        <v>Janus Henderson Contrarian Fund</v>
      </c>
      <c r="H16" t="str">
        <v>https://www.janushenderson.com/en-us/advisor/bio/nick-schommer-cfa/</v>
      </c>
      <c r="I16" t="str">
        <v>NO_DATO</v>
      </c>
    </row>
    <row r="17" spans="1:9" x14ac:dyDescent="0.3">
      <c r="A17" t="str">
        <v>Oliver Blackbourn, CFA</v>
      </c>
      <c r="B17" t="str">
        <v>Portfolio Manager (Multi-Asset Team)</v>
      </c>
      <c r="C17" t="str">
        <v>Multiactivo</v>
      </c>
      <c r="D17" t="str">
        <v>Flexible multi-asset portfolios</v>
      </c>
      <c r="E17" t="str">
        <v>Global</v>
      </c>
      <c r="F17" t="str">
        <v>Multiactivo global / visión macro</v>
      </c>
      <c r="G17" t="str">
        <v>Multi-Asset flexible strategies</v>
      </c>
      <c r="H17" t="str">
        <v>https://www.janushenderson.com/en-gb/investor/bio/oliver-blackbourn-cfa/</v>
      </c>
      <c r="I17" t="str">
        <v>NO_DATO</v>
      </c>
    </row>
    <row r="18" spans="1:9" x14ac:dyDescent="0.3">
      <c r="A18" t="str">
        <v>Ali Dibadj</v>
      </c>
      <c r="B18" t="str">
        <v>Chief Executive Officer</v>
      </c>
      <c r="C18" t="str">
        <v>Perfil ejecutivo</v>
      </c>
      <c r="D18" t="str">
        <v>Dirección corporativa / estrategia</v>
      </c>
      <c r="E18" t="str">
        <v>Global</v>
      </c>
      <c r="F18" t="str">
        <v>Gestión de activos / estrategia corporativa / ESG corporativo</v>
      </c>
      <c r="G18" t="str">
        <v>NO_DATO</v>
      </c>
      <c r="H18" t="str">
        <v>https://www.janushenderson.com/en-fi/advisor/bio/ali-dibadj/</v>
      </c>
      <c r="I18" t="str">
        <v>NO_DATO</v>
      </c>
    </row>
    <row r="19" spans="1:9" x14ac:dyDescent="0.3">
      <c r="A19" t="str">
        <v>Aaron Schaechterle</v>
      </c>
      <c r="B19" t="str">
        <v>Portfolio Manager | Research Analyst</v>
      </c>
      <c r="C19" t="str">
        <v>Renta variable</v>
      </c>
      <c r="D19" t="str">
        <v>US small/mid-cap growth</v>
      </c>
      <c r="E19" t="str">
        <v>Estados Unidos</v>
      </c>
      <c r="F19" t="str">
        <v>Small &amp; mid cap growth / tecnología / industriales</v>
      </c>
      <c r="G19" t="str">
        <v>US Venture Fund</v>
      </c>
      <c r="H19" t="str">
        <v>https://www.janushenderson.com/corporate/bio/aaron-schaechterle/</v>
      </c>
      <c r="I19" t="str">
        <v>NO_DATO</v>
      </c>
    </row>
    <row r="20" spans="1:9" x14ac:dyDescent="0.3">
      <c r="A20" t="str">
        <v>Aaron Schaechterle</v>
      </c>
      <c r="B20" t="str">
        <v>Portfolio Manager | Research Analyst</v>
      </c>
      <c r="C20" t="str">
        <v>Renta variable</v>
      </c>
      <c r="D20" t="str">
        <v>US SMID Cap Growth</v>
      </c>
      <c r="E20" t="str">
        <v>Estados Unidos</v>
      </c>
      <c r="F20" t="str">
        <v>Small &amp; mid cap growth / modelos de negocio diferenciados</v>
      </c>
      <c r="G20" t="str">
        <v>US SMID Cap Growth Managed Account</v>
      </c>
      <c r="H20" t="str">
        <v>https://www.janushenderson.com/corporate/bio/aaron-schaechterle/</v>
      </c>
      <c r="I20" t="str">
        <v>https://www.janushenderson.com/en-us/advisor/product/us-smid-cap-growth-managed-account/</v>
      </c>
    </row>
    <row r="21" spans="1:9" x14ac:dyDescent="0.3">
      <c r="A21" t="str">
        <v>Aaron Scully, CFA</v>
      </c>
      <c r="B21" t="str">
        <v>Portfolio Manager</v>
      </c>
      <c r="C21" t="str">
        <v>Renta variable</v>
      </c>
      <c r="D21" t="str">
        <v>Global sustainable equity</v>
      </c>
      <c r="E21" t="str">
        <v>Global</v>
      </c>
      <c r="F21" t="str">
        <v>ESG / sostenibilidad</v>
      </c>
      <c r="G21" t="str">
        <v>Horizon Global Sustainable Equity Fund</v>
      </c>
      <c r="H21" t="str">
        <v>https://www.janushenderson.com/en-us/advisor/bio/aaron-scully-cfa/</v>
      </c>
      <c r="I21" t="str">
        <v>NO_DATO</v>
      </c>
    </row>
    <row r="22" spans="1:9" x14ac:dyDescent="0.3">
      <c r="A22" t="str">
        <v>Aaron Scully, CFA</v>
      </c>
      <c r="B22" t="str">
        <v>Portfolio Manager</v>
      </c>
      <c r="C22" t="str">
        <v>Renta variable</v>
      </c>
      <c r="D22" t="str">
        <v>Global sustainable equity</v>
      </c>
      <c r="E22" t="str">
        <v>Global</v>
      </c>
      <c r="F22" t="str">
        <v>ESG / sostenibilidad</v>
      </c>
      <c r="G22" t="str">
        <v>Global Sustainable Equity strategies</v>
      </c>
      <c r="H22" t="str">
        <v>https://www.janushenderson.com/en-us/advisor/bio/aaron-scully-cfa/</v>
      </c>
      <c r="I22" t="str">
        <v>NO_DATO</v>
      </c>
    </row>
    <row r="23" spans="1:9" x14ac:dyDescent="0.3">
      <c r="A23" t="str">
        <v>Addison Maier</v>
      </c>
      <c r="B23" t="str">
        <v>Portfolio Manager</v>
      </c>
      <c r="C23" t="str">
        <v>Renta fija</v>
      </c>
      <c r="D23" t="str">
        <v>Global short duration income</v>
      </c>
      <c r="E23" t="str">
        <v>Global</v>
      </c>
      <c r="F23" t="str">
        <v>Renta fija corto plazo / liquidez</v>
      </c>
      <c r="G23" t="str">
        <v>Global Short Duration Income Fund</v>
      </c>
      <c r="H23" t="str">
        <v>https://www.janushenderson.com/en-sg/investor/bio/addison-maier/</v>
      </c>
      <c r="I23" t="str">
        <v>NO_DATO</v>
      </c>
    </row>
    <row r="24" spans="1:9" x14ac:dyDescent="0.3">
      <c r="A24" t="str">
        <v>Addison Maier</v>
      </c>
      <c r="B24" t="str">
        <v>Portfolio Manager</v>
      </c>
      <c r="C24" t="str">
        <v>Renta fija</v>
      </c>
      <c r="D24" t="str">
        <v>Absolute return income</v>
      </c>
      <c r="E24" t="str">
        <v>Global</v>
      </c>
      <c r="F24" t="str">
        <v>Renta fija retorno absoluto</v>
      </c>
      <c r="G24" t="str">
        <v>Absolute Return Income Opportunities Fund</v>
      </c>
      <c r="H24" t="str">
        <v>https://www.janushenderson.com/en-sg/investor/bio/addison-maier/</v>
      </c>
      <c r="I24" t="str">
        <v>NO_DATO</v>
      </c>
    </row>
    <row r="25" spans="1:9" x14ac:dyDescent="0.3">
      <c r="A25" t="str">
        <v>Agustin Mohedas, PhD</v>
      </c>
      <c r="B25" t="str">
        <v>Portfolio Manager | Research Analyst</v>
      </c>
      <c r="C25" t="str">
        <v>Renta variable</v>
      </c>
      <c r="D25" t="str">
        <v>Global healthcare / biotechnology equities</v>
      </c>
      <c r="E25" t="str">
        <v>Global</v>
      </c>
      <c r="F25" t="str">
        <v>Biotecnología / salud</v>
      </c>
      <c r="G25" t="str">
        <v>Horizon Biotechnology Fund</v>
      </c>
      <c r="H25" t="str">
        <v>https://www.janushenderson.com/en-us/advisor/bio/agustin-mohedas-ph-d/</v>
      </c>
      <c r="I25" t="str">
        <v>https://www.janushenderson.com/en-se/investor/product/janus-henderson-horizon-biotechnology-fund/</v>
      </c>
    </row>
    <row r="26" spans="1:9" x14ac:dyDescent="0.3">
      <c r="A26" t="str">
        <v>Alex Crooke, ASIP</v>
      </c>
      <c r="B26" t="str">
        <v>Portfolio Manager</v>
      </c>
      <c r="C26" t="str">
        <v>Renta variable</v>
      </c>
      <c r="D26" t="str">
        <v>Global equity income</v>
      </c>
      <c r="E26" t="str">
        <v>Global</v>
      </c>
      <c r="F26" t="str">
        <v>Renta variable global de dividendo / income</v>
      </c>
      <c r="G26" t="str">
        <v>Global Equity Income strategies</v>
      </c>
      <c r="H26" t="str">
        <v>https://www.janushenderson.com/en-gb/adviser/bio/alex-crooke/</v>
      </c>
      <c r="I26" t="str">
        <v>NO_DATO</v>
      </c>
    </row>
    <row r="27" spans="1:9" x14ac:dyDescent="0.3">
      <c r="A27" t="str">
        <v>Alex Crooke, ASIP</v>
      </c>
      <c r="B27" t="str">
        <v>Portfolio Manager</v>
      </c>
      <c r="C27" t="str">
        <v>Renta variable</v>
      </c>
      <c r="D27" t="str">
        <v>Global dividend &amp; income</v>
      </c>
      <c r="E27" t="str">
        <v>Global</v>
      </c>
      <c r="F27" t="str">
        <v>Renta variable global de dividendo / income</v>
      </c>
      <c r="G27" t="str">
        <v>Global Dividend &amp; Income strategies</v>
      </c>
      <c r="H27" t="str">
        <v>https://www.janushenderson.com/en-gb/adviser/bio/alex-crooke/</v>
      </c>
      <c r="I27" t="str">
        <v>NO_DATO</v>
      </c>
    </row>
    <row r="28" spans="1:9" x14ac:dyDescent="0.3">
      <c r="A28" t="str">
        <v>Alex Veroude, CFA</v>
      </c>
      <c r="B28" t="str">
        <v>Head of Fixed Income</v>
      </c>
      <c r="C28" t="str">
        <v>Renta fija</v>
      </c>
      <c r="D28" t="str">
        <v>Global fixed income leadership</v>
      </c>
      <c r="E28" t="str">
        <v>Global</v>
      </c>
      <c r="F28" t="str">
        <v>Gestión de renta fija / crédito / core</v>
      </c>
      <c r="G28" t="str">
        <v>NO_DATO</v>
      </c>
      <c r="H28" t="str">
        <v>https://www.janushenderson.com/en-gb/adviser/bio/alex-veroude-cfa/</v>
      </c>
      <c r="I28" t="str">
        <v>NO_DATO</v>
      </c>
    </row>
    <row r="29" spans="1:9" x14ac:dyDescent="0.3">
      <c r="A29" t="str">
        <v>Alexander Keen, CFA</v>
      </c>
      <c r="B29" t="str">
        <v>Portfolio Manager</v>
      </c>
      <c r="C29" t="str">
        <v>Alternativos</v>
      </c>
      <c r="D29" t="str">
        <v>Diversified alternatives</v>
      </c>
      <c r="E29" t="str">
        <v>Global</v>
      </c>
      <c r="F29" t="str">
        <v>Alternativos líquidos / multiestrategia</v>
      </c>
      <c r="G29" t="str">
        <v>Diversified Alternatives strategies</v>
      </c>
      <c r="H29" t="str">
        <v>https://www.janushenderson.com/en-gb/investor/bio/alexander-keen-cfa/</v>
      </c>
      <c r="I29" t="str">
        <v>NO_DATO</v>
      </c>
    </row>
    <row r="30" spans="1:9" x14ac:dyDescent="0.3">
      <c r="A30" t="str">
        <v>Alison Porter</v>
      </c>
      <c r="B30" t="str">
        <v>Portfolio Manager</v>
      </c>
      <c r="C30" t="str">
        <v>Renta variable</v>
      </c>
      <c r="D30" t="str">
        <v>Global technology equities</v>
      </c>
      <c r="E30" t="str">
        <v>Global</v>
      </c>
      <c r="F30" t="str">
        <v>Tecnología</v>
      </c>
      <c r="G30" t="str">
        <v>Global Technology Leaders strategies</v>
      </c>
      <c r="H30" t="str">
        <v>https://www.janushenderson.com/es-es/investor/bio/alison-porter/</v>
      </c>
      <c r="I30" t="str">
        <v>NO_DATO</v>
      </c>
    </row>
    <row r="31" spans="1:9" x14ac:dyDescent="0.3">
      <c r="A31" t="str">
        <v>Andrew Forman</v>
      </c>
      <c r="B31" t="str">
        <v>Associate Portfolio Manager | Money Market Analyst</v>
      </c>
      <c r="C31" t="str">
        <v>Renta fija</v>
      </c>
      <c r="D31" t="str">
        <v>Money market / short-term liquidity</v>
      </c>
      <c r="E31" t="str">
        <v>Global</v>
      </c>
      <c r="F31" t="str">
        <v>Mercado monetario / gestión de tesorería</v>
      </c>
      <c r="G31" t="str">
        <v>Money market strategies</v>
      </c>
      <c r="H31" t="str">
        <v>NO_DATO</v>
      </c>
      <c r="I31" t="str">
        <v>NO_DATO</v>
      </c>
    </row>
    <row r="32" spans="1:9" x14ac:dyDescent="0.3">
      <c r="A32" t="str">
        <v>Andrew Jones</v>
      </c>
      <c r="B32" t="str">
        <v>Portfolio Manager</v>
      </c>
      <c r="C32" t="str">
        <v>Renta variable</v>
      </c>
      <c r="D32" t="str">
        <v>Global equity income</v>
      </c>
      <c r="E32" t="str">
        <v>Global</v>
      </c>
      <c r="F32" t="str">
        <v>Renta variable global de dividendo / income</v>
      </c>
      <c r="G32" t="str">
        <v>Janus Henderson Cautious Managed Fund</v>
      </c>
      <c r="H32" t="str">
        <v>https://www.janushenderson.com/en-gb/investor/bio/andrew-jones/</v>
      </c>
      <c r="I32" t="str">
        <v>NO_DATO</v>
      </c>
    </row>
    <row r="33" spans="1:9" x14ac:dyDescent="0.3">
      <c r="A33" t="str">
        <v>Andy Acker, CFA</v>
      </c>
      <c r="B33" t="str">
        <v>Portfolio Manager</v>
      </c>
      <c r="C33" t="str">
        <v>Renta variable</v>
      </c>
      <c r="D33" t="str">
        <v>Global life sciences equities</v>
      </c>
      <c r="E33" t="str">
        <v>Global</v>
      </c>
      <c r="F33" t="str">
        <v>Salud / ciencias de la vida</v>
      </c>
      <c r="G33" t="str">
        <v>Global Life Sciences Fund</v>
      </c>
      <c r="H33" t="str">
        <v>https://www.janushenderson.com/en-us/advisor/bio/andy-acker/</v>
      </c>
      <c r="I33" t="str">
        <v>https://www.janushenderson.com/en-us/advisor/product/global-life-sciences-fund/</v>
      </c>
    </row>
    <row r="34" spans="1:9" x14ac:dyDescent="0.3">
      <c r="A34" t="str">
        <v>Andy Acker, CFA</v>
      </c>
      <c r="B34" t="str">
        <v>Portfolio Manager</v>
      </c>
      <c r="C34" t="str">
        <v>Renta variable</v>
      </c>
      <c r="D34" t="str">
        <v>Biotechnology equities</v>
      </c>
      <c r="E34" t="str">
        <v>Global</v>
      </c>
      <c r="F34" t="str">
        <v>Biotecnología</v>
      </c>
      <c r="G34" t="str">
        <v>Horizon Biotechnology Fund</v>
      </c>
      <c r="H34" t="str">
        <v>https://www.janushenderson.com/en-us/advisor/bio/andy-acker/</v>
      </c>
      <c r="I34" t="str">
        <v>https://www.janushenderson.com/en-se/investor/product/janus-henderson-horizon-biotechnology-fund/</v>
      </c>
    </row>
    <row r="35" spans="1:9" x14ac:dyDescent="0.3">
      <c r="A35" t="str">
        <v>Arjun Bhandari, CFA</v>
      </c>
      <c r="B35" t="str">
        <v>Portfolio Manager</v>
      </c>
      <c r="C35" t="str">
        <v>Renta fija</v>
      </c>
      <c r="D35" t="str">
        <v>Global bonds</v>
      </c>
      <c r="E35" t="str">
        <v>Global</v>
      </c>
      <c r="F35" t="str">
        <v>Bonos globales / renta fija agregada</v>
      </c>
      <c r="G35" t="str">
        <v>Global Bonds strategies</v>
      </c>
      <c r="H35" t="str">
        <v>https://www.janushenderson.com/en-us/advisor/bio/arjun-bhandari-cfa/</v>
      </c>
      <c r="I35" t="str">
        <v>NO_DATO</v>
      </c>
    </row>
    <row r="36" spans="1:9" x14ac:dyDescent="0.3">
      <c r="A36" t="str">
        <v>Ben Jones</v>
      </c>
      <c r="B36" t="str">
        <v>Portfolio Manager</v>
      </c>
      <c r="C36" t="str">
        <v>Alternativos</v>
      </c>
      <c r="D36" t="str">
        <v>Diversified alternatives</v>
      </c>
      <c r="E36" t="str">
        <v>Global</v>
      </c>
      <c r="F36" t="str">
        <v>Alternativos líquidos / multiestrategia</v>
      </c>
      <c r="G36" t="str">
        <v>Diversified Alternatives strategies</v>
      </c>
      <c r="H36" t="str">
        <v>https://www.janushenderson.com/en-gb/investor/bio/ben-jones/</v>
      </c>
      <c r="I36" t="str">
        <v>NO_DATO</v>
      </c>
    </row>
    <row r="37" spans="1:9" x14ac:dyDescent="0.3">
      <c r="A37" t="str">
        <v>Ben Lofthouse, CFA</v>
      </c>
      <c r="B37" t="str">
        <v>Head of Global Equity Income | Portfolio Manager</v>
      </c>
      <c r="C37" t="str">
        <v>Renta variable</v>
      </c>
      <c r="D37" t="str">
        <v>Global equity income</v>
      </c>
      <c r="E37" t="str">
        <v>Global</v>
      </c>
      <c r="F37" t="str">
        <v>Renta variable global de dividendo / income</v>
      </c>
      <c r="G37" t="str">
        <v>Global Equity Income Fund</v>
      </c>
      <c r="H37" t="str">
        <v>https://www.janushenderson.com/en-gb/investor/bio/ben-lofthouse/</v>
      </c>
      <c r="I37" t="str">
        <v>NO_DATO</v>
      </c>
    </row>
    <row r="38" spans="1:9" x14ac:dyDescent="0.3">
      <c r="A38" t="str">
        <v>Ben Wallace</v>
      </c>
      <c r="B38" t="str">
        <v>Portfolio Manager</v>
      </c>
      <c r="C38" t="str">
        <v>Renta variable</v>
      </c>
      <c r="D38" t="str">
        <v>Absolute return equities</v>
      </c>
      <c r="E38" t="str">
        <v>Reino Unido / Europa</v>
      </c>
      <c r="F38" t="str">
        <v>Renta variable long/short / retorno absoluto</v>
      </c>
      <c r="G38" t="str">
        <v>Absolute Return Equities strategies</v>
      </c>
      <c r="H38" t="str">
        <v>https://www.janushenderson.com/corporate/bio/ben-wallace/</v>
      </c>
      <c r="I38" t="str">
        <v>NO_DATO</v>
      </c>
    </row>
    <row r="39" spans="1:9" x14ac:dyDescent="0.3">
      <c r="A39" t="str">
        <v>Benjamin Wang, CFA</v>
      </c>
      <c r="B39" t="str">
        <v>Portfolio Manager | Quantitative Solutions</v>
      </c>
      <c r="C39" t="str">
        <v>Renta variable</v>
      </c>
      <c r="D39" t="str">
        <v>Quantitative equity / index solutions</v>
      </c>
      <c r="E39" t="str">
        <v>Global</v>
      </c>
      <c r="F39" t="str">
        <v>Renta variable cuantitativa / indexada</v>
      </c>
      <c r="G39" t="str">
        <v>Quantitative Solutions strategies</v>
      </c>
      <c r="H39" t="str">
        <v>https://www.janushenderson.com/en-sg/investor/bio/benjamin-wang-cfa/</v>
      </c>
      <c r="I39" t="str">
        <v>NO_DATO</v>
      </c>
    </row>
    <row r="40" spans="1:9" x14ac:dyDescent="0.3">
      <c r="A40" t="str">
        <v>Bent Lystbaek</v>
      </c>
      <c r="B40" t="str">
        <v>Portfolio Manager</v>
      </c>
      <c r="C40" t="str">
        <v>Renta fija</v>
      </c>
      <c r="D40" t="str">
        <v>Emerging Markets Debt Hard Currency</v>
      </c>
      <c r="E40" t="str">
        <v>Mercados emergentes</v>
      </c>
      <c r="F40" t="str">
        <v>Deuda emergente en divisa fuerte</v>
      </c>
      <c r="G40" t="str">
        <v>Emerging Markets Debt Hard Currency strategies</v>
      </c>
      <c r="H40" t="str">
        <v>https://www.janushenderson.com/en-us/advisor/bio/bent-lystbaek/</v>
      </c>
      <c r="I40" t="str">
        <v>NO_DATO</v>
      </c>
    </row>
    <row r="41" spans="1:9" x14ac:dyDescent="0.3">
      <c r="A41" t="str">
        <v>Bradford Smith</v>
      </c>
      <c r="B41" t="str">
        <v>Portfolio Manager</v>
      </c>
      <c r="C41" t="str">
        <v>Renta fija</v>
      </c>
      <c r="D41" t="str">
        <v>Core Plus &amp; corporate credit</v>
      </c>
      <c r="E41" t="str">
        <v>Global</v>
      </c>
      <c r="F41" t="str">
        <v>Crédito corporativo / renta fija Core Plus</v>
      </c>
      <c r="G41" t="str">
        <v>Core Plus and Corporate Credit strategies</v>
      </c>
      <c r="H41" t="str">
        <v>https://www.janushenderson.com/en-pt/advisor/bio/bradford-smith/</v>
      </c>
      <c r="I41" t="str">
        <v>NO_DATO</v>
      </c>
    </row>
    <row r="42" spans="1:9" x14ac:dyDescent="0.3">
      <c r="A42" t="str">
        <v>Brent Olson</v>
      </c>
      <c r="B42" t="str">
        <v>Portfolio Manager</v>
      </c>
      <c r="C42" t="str">
        <v>Renta fija</v>
      </c>
      <c r="D42" t="str">
        <v>Credit-focused strategies</v>
      </c>
      <c r="E42" t="str">
        <v>Global</v>
      </c>
      <c r="F42" t="str">
        <v>Crédito corporativo / enfoque fundamental</v>
      </c>
      <c r="G42" t="str">
        <v>Credit strategies</v>
      </c>
      <c r="H42" t="str">
        <v>https://www.janushenderson.com/en-gb/adviser/bio/brent-olson/</v>
      </c>
      <c r="I42" t="str">
        <v>NO_DATO</v>
      </c>
    </row>
    <row r="43" spans="1:9" x14ac:dyDescent="0.3">
      <c r="A43" t="str">
        <v>Brian Demain, CFA</v>
      </c>
      <c r="B43" t="str">
        <v>Portfolio Manager</v>
      </c>
      <c r="C43" t="str">
        <v>Renta variable</v>
      </c>
      <c r="D43" t="str">
        <v>US mid-cap growth</v>
      </c>
      <c r="E43" t="str">
        <v>Estados Unidos</v>
      </c>
      <c r="F43" t="str">
        <v>Renta variable estadounidense mid cap growth</v>
      </c>
      <c r="G43" t="str">
        <v>US Mid Cap Growth strategies</v>
      </c>
      <c r="H43" t="str">
        <v>https://www.janushenderson.com/en-ie/investor/bio/brian-demain-cfa/</v>
      </c>
      <c r="I43" t="str">
        <v>NO_DATO</v>
      </c>
    </row>
    <row r="44" spans="1:9" x14ac:dyDescent="0.3">
      <c r="A44" t="str">
        <v>Brian Recht</v>
      </c>
      <c r="B44" t="str">
        <v>Portfolio Manager | Research Analyst</v>
      </c>
      <c r="C44" t="str">
        <v>Renta variable</v>
      </c>
      <c r="D44" t="str">
        <v>US growth equities</v>
      </c>
      <c r="E44" t="str">
        <v>Estados Unidos</v>
      </c>
      <c r="F44" t="str">
        <v>Consumo y comunicaciones / growth</v>
      </c>
      <c r="G44" t="str">
        <v>US growth equity strategies</v>
      </c>
      <c r="H44" t="str">
        <v>https://www.janushenderson.com/en-gb/adviser/bio/brian-recht/</v>
      </c>
      <c r="I44" t="str">
        <v>NO_DATO</v>
      </c>
    </row>
    <row r="45" spans="1:9" x14ac:dyDescent="0.3">
      <c r="A45" t="str">
        <v>Carlo Castronovo</v>
      </c>
      <c r="B45" t="str">
        <v>Portfolio Manager</v>
      </c>
      <c r="C45" t="str">
        <v>Alternativos</v>
      </c>
      <c r="D45" t="str">
        <v>Diversified alternatives / multi-strategy</v>
      </c>
      <c r="E45" t="str">
        <v>Global</v>
      </c>
      <c r="F45" t="str">
        <v>Alternativos líquidos / estrategias multiestrategia</v>
      </c>
      <c r="G45" t="str">
        <v>Global Multi-Strategy funds</v>
      </c>
      <c r="H45" t="str">
        <v>https://www.janushenderson.com/middle-east/institutional/bio/carlo-castronovo/</v>
      </c>
      <c r="I45" t="str">
        <v>NO_DATO</v>
      </c>
    </row>
    <row r="46" spans="1:9" x14ac:dyDescent="0.3">
      <c r="A46" t="str">
        <v>Charlotte Greville, CFA</v>
      </c>
      <c r="B46" t="str">
        <v>Portfolio Manager</v>
      </c>
      <c r="C46" t="str">
        <v>Renta variable</v>
      </c>
      <c r="D46" t="str">
        <v>Global equity income</v>
      </c>
      <c r="E46" t="str">
        <v>Global</v>
      </c>
      <c r="F46" t="str">
        <v>Renta variable global de dividendo / income</v>
      </c>
      <c r="G46" t="str">
        <v>Global Equity Income strategies</v>
      </c>
      <c r="H46" t="str">
        <v>https://www.janushenderson.com/en-us/advisor/bio/charlotte-greville-cfa/</v>
      </c>
      <c r="I46" t="str">
        <v>NO_DATO</v>
      </c>
    </row>
    <row r="47" spans="1:9" x14ac:dyDescent="0.3">
      <c r="A47" t="str">
        <v>Christopher O'Malley, CFA</v>
      </c>
      <c r="B47" t="str">
        <v>Portfolio Manager | Research Analyst</v>
      </c>
      <c r="C47" t="str">
        <v>Renta variable</v>
      </c>
      <c r="D47" t="str">
        <v>Global alpha equities</v>
      </c>
      <c r="E47" t="str">
        <v>Global</v>
      </c>
      <c r="F47" t="str">
        <v>Renta variable global / enfoque growth de alta convicción</v>
      </c>
      <c r="G47" t="str">
        <v>Global Alpha Equity strategies</v>
      </c>
      <c r="H47" t="str">
        <v>https://www.janushenderson.com/en-us/offshore/bio/christopher-omalley-cfa/</v>
      </c>
      <c r="I47" t="str">
        <v>NO_DATO</v>
      </c>
    </row>
    <row r="48" spans="1:9" x14ac:dyDescent="0.3">
      <c r="A48" t="str">
        <v>Cody Wheaton, CFA</v>
      </c>
      <c r="B48" t="str">
        <v>Portfolio Manager | Research Analyst</v>
      </c>
      <c r="C48" t="str">
        <v>Renta variable</v>
      </c>
      <c r="D48" t="str">
        <v>US mid-cap growth</v>
      </c>
      <c r="E48" t="str">
        <v>Estados Unidos</v>
      </c>
      <c r="F48" t="str">
        <v>Small &amp; mid cap growth / financieros y consumo</v>
      </c>
      <c r="G48" t="str">
        <v>US Mid Cap Growth strategies</v>
      </c>
      <c r="H48" t="str">
        <v>https://www.janushenderson.com/en-us/advisor/bio/philip-cody-wheaton-cfa/</v>
      </c>
      <c r="I48" t="str">
        <v>NO_DATO</v>
      </c>
    </row>
    <row r="49" spans="1:9" x14ac:dyDescent="0.3">
      <c r="A49" t="str">
        <v>Craig Kempler, CFA</v>
      </c>
      <c r="B49" t="str">
        <v>Portfolio Manager</v>
      </c>
      <c r="C49" t="str">
        <v>Renta variable</v>
      </c>
      <c r="D49" t="str">
        <v>US SMID value</v>
      </c>
      <c r="E49" t="str">
        <v>Estados Unidos</v>
      </c>
      <c r="F49" t="str">
        <v>Renta variable value en small &amp; mid caps</v>
      </c>
      <c r="G49" t="str">
        <v>US SMID Value strategies</v>
      </c>
      <c r="H49" t="str">
        <v>https://www.janushenderson.com/en-dk/investor/bio/craig-kempler-cfa/</v>
      </c>
      <c r="I49" t="str">
        <v>NO_DATO</v>
      </c>
    </row>
    <row r="50" spans="1:9" x14ac:dyDescent="0.3">
      <c r="A50" t="str">
        <v>Daniel Lyons, PhD, CFA</v>
      </c>
      <c r="B50" t="str">
        <v>Portfolio Manager | Research Analyst</v>
      </c>
      <c r="C50" t="str">
        <v>Renta variable</v>
      </c>
      <c r="D50" t="str">
        <v>Global healthcare / biotech</v>
      </c>
      <c r="E50" t="str">
        <v>Global</v>
      </c>
      <c r="F50" t="str">
        <v>Biotecnología y life science tools</v>
      </c>
      <c r="G50" t="str">
        <v>Health Care &amp; Biotech strategies</v>
      </c>
      <c r="H50" t="str">
        <v>https://www.janushenderson.com/en-be/advisor/bio/daniel-lyons-phd-cfa/</v>
      </c>
      <c r="I50" t="str">
        <v>NO_DATO</v>
      </c>
    </row>
    <row r="51" spans="1:9" x14ac:dyDescent="0.3">
      <c r="A51" t="str">
        <v>Daniel Siluk</v>
      </c>
      <c r="B51" t="str">
        <v>Head of Global Short Duration &amp; Liquidity | Portfolio Manager</v>
      </c>
      <c r="C51" t="str">
        <v>Renta fija</v>
      </c>
      <c r="D51" t="str">
        <v>Short duration &amp; liquidity</v>
      </c>
      <c r="E51" t="str">
        <v>Global</v>
      </c>
      <c r="F51" t="str">
        <v>Renta fija a corto plazo / liquidez</v>
      </c>
      <c r="G51" t="str">
        <v>Global Short Duration &amp; Liquidity strategies</v>
      </c>
      <c r="H51" t="str">
        <v>https://www.janushendersoncharitable.org/bio/daniel-siluk/</v>
      </c>
      <c r="I51" t="str">
        <v>NO_DATO</v>
      </c>
    </row>
    <row r="52" spans="1:9" x14ac:dyDescent="0.3">
      <c r="A52" t="str">
        <v>Danny Greenberger</v>
      </c>
      <c r="B52" t="str">
        <v>Portfolio Manager</v>
      </c>
      <c r="C52" t="str">
        <v>Renta variable</v>
      </c>
      <c r="D52" t="str">
        <v>Global property equities</v>
      </c>
      <c r="E52" t="str">
        <v>Global</v>
      </c>
      <c r="F52" t="str">
        <v>Inmobiliario cotizado / real estate long/short</v>
      </c>
      <c r="G52" t="str">
        <v>Global Property Equities strategies</v>
      </c>
      <c r="H52" t="str">
        <v>https://www.janushenderson.com/en-us/advisor/bio/daniel-greenberger/</v>
      </c>
      <c r="I52" t="str">
        <v>NO_DATO</v>
      </c>
    </row>
    <row r="53" spans="1:9" x14ac:dyDescent="0.3">
      <c r="A53" t="str">
        <v>David Elms</v>
      </c>
      <c r="B53" t="str">
        <v>Head of Diversified Alternatives | Portfolio Manager</v>
      </c>
      <c r="C53" t="str">
        <v>Alternativos</v>
      </c>
      <c r="D53" t="str">
        <v>Diversified alternatives / absolute return</v>
      </c>
      <c r="E53" t="str">
        <v>Global</v>
      </c>
      <c r="F53" t="str">
        <v>Alternativos líquidos / retorno absoluto</v>
      </c>
      <c r="G53" t="str">
        <v>Diversified Alternatives strategies</v>
      </c>
      <c r="H53" t="str">
        <v>https://www.janushenderson.com/en-us/advisor/bio/david-elms/</v>
      </c>
      <c r="I53" t="str">
        <v>NO_DATO</v>
      </c>
    </row>
    <row r="54" spans="1:9" x14ac:dyDescent="0.3">
      <c r="A54" t="str">
        <v>David Padulo, CFA</v>
      </c>
      <c r="B54" t="str">
        <v>Portfolio Manager</v>
      </c>
      <c r="C54" t="str">
        <v>Renta fija</v>
      </c>
      <c r="D54" t="str">
        <v>Investment grade corporate credit</v>
      </c>
      <c r="E54" t="str">
        <v>Global</v>
      </c>
      <c r="F54" t="str">
        <v>Crédito corporativo investment grade</v>
      </c>
      <c r="G54" t="str">
        <v>Corporate Credit strategies</v>
      </c>
      <c r="H54" t="str">
        <v>https://www.janushenderson.com/nl-nl/investor/bio/david-padulo-cfa/</v>
      </c>
      <c r="I54" t="str">
        <v>NO_DATO</v>
      </c>
    </row>
    <row r="55" spans="1:9" x14ac:dyDescent="0.3">
      <c r="A55" t="str">
        <v>David Smith, CFA</v>
      </c>
      <c r="B55" t="str">
        <v>Portfolio Manager</v>
      </c>
      <c r="C55" t="str">
        <v>Renta variable</v>
      </c>
      <c r="D55" t="str">
        <v>UK &amp; global equity income</v>
      </c>
      <c r="E55" t="str">
        <v>Reino Unido / Global</v>
      </c>
      <c r="F55" t="str">
        <v>Renta variable de dividendo / income</v>
      </c>
      <c r="G55" t="str">
        <v>Janus Henderson UK Responsible Income Fund</v>
      </c>
      <c r="H55" t="str">
        <v>https://www.janushenderson.com/en-gb/investor/bio/david-smith/</v>
      </c>
      <c r="I55" t="str">
        <v>NO_DATO</v>
      </c>
    </row>
    <row r="56" spans="1:9" x14ac:dyDescent="0.3">
      <c r="A56" t="str">
        <v>Denis Struc</v>
      </c>
      <c r="B56" t="str">
        <v>Portfolio Manager</v>
      </c>
      <c r="C56" t="str">
        <v>Renta fija</v>
      </c>
      <c r="D56" t="str">
        <v>Secured credit / securitised debt</v>
      </c>
      <c r="E56" t="str">
        <v>Global</v>
      </c>
      <c r="F56" t="str">
        <v>Crédito titulizado / ABS</v>
      </c>
      <c r="G56" t="str">
        <v>Secured Credit strategies</v>
      </c>
      <c r="H56" t="str">
        <v>https://www.janushenderson.com/corporate/bio/denis-struc/</v>
      </c>
      <c r="I56" t="str">
        <v>NO_DATO</v>
      </c>
    </row>
    <row r="57" spans="1:9" x14ac:dyDescent="0.3">
      <c r="A57" t="str">
        <v>Denny Fish</v>
      </c>
      <c r="B57" t="str">
        <v>Portfolio Manager | Research Analyst</v>
      </c>
      <c r="C57" t="str">
        <v>Renta variable</v>
      </c>
      <c r="D57" t="str">
        <v>Global technology &amp; innovation equities</v>
      </c>
      <c r="E57" t="str">
        <v>Global</v>
      </c>
      <c r="F57" t="str">
        <v>Tecnología</v>
      </c>
      <c r="G57" t="str">
        <v>Global Technology &amp; Innovation strategies</v>
      </c>
      <c r="H57" t="str">
        <v>https://www.janushenderson.com/en-us/advisor/bio/denny-fish/</v>
      </c>
      <c r="I57" t="str">
        <v>NO_DATO</v>
      </c>
    </row>
    <row r="58" spans="1:9" x14ac:dyDescent="0.3">
      <c r="A58" t="str">
        <v>Dimitri Diamand</v>
      </c>
      <c r="B58" t="str">
        <v>Associate Portfolio Manager</v>
      </c>
      <c r="C58" t="str">
        <v>Renta fija</v>
      </c>
      <c r="D58" t="str">
        <v>Australian fixed interest</v>
      </c>
      <c r="E58" t="str">
        <v>Australia</v>
      </c>
      <c r="F58" t="str">
        <v>Renta fija australiana / duración</v>
      </c>
      <c r="G58" t="str">
        <v>Australian Fixed Interest strategies</v>
      </c>
      <c r="H58" t="str">
        <v>https://www.janushenderson.com/en-hk/investor/bio/dimitri-diamand/</v>
      </c>
      <c r="I58" t="str">
        <v>NO_DATO</v>
      </c>
    </row>
    <row r="59" spans="1:9" x14ac:dyDescent="0.3">
      <c r="A59" t="str">
        <v>Douglas Turnbull, CFA</v>
      </c>
      <c r="B59" t="str">
        <v>Portfolio Manager | Research Analyst</v>
      </c>
      <c r="C59" t="str">
        <v>Renta variable</v>
      </c>
      <c r="D59" t="str">
        <v>Emerging markets equities</v>
      </c>
      <c r="E59" t="str">
        <v>Mercados emergentes</v>
      </c>
      <c r="F59" t="str">
        <v>Renta variable emergente / tecnología</v>
      </c>
      <c r="G59" t="str">
        <v>Emerging Market Equity strategies</v>
      </c>
      <c r="H59" t="str">
        <v>https://www.janushenderson.com/en-ch/investor/bio/douglas-turnbull/</v>
      </c>
      <c r="I59" t="str">
        <v>NO_DATO</v>
      </c>
    </row>
    <row r="60" spans="1:9" x14ac:dyDescent="0.3">
      <c r="A60" t="str">
        <v>Dylan Bourke, CFA</v>
      </c>
      <c r="B60" t="str">
        <v>Portfolio Manager</v>
      </c>
      <c r="C60" t="str">
        <v>Renta fija</v>
      </c>
      <c r="D60" t="str">
        <v>Global short duration income</v>
      </c>
      <c r="E60" t="str">
        <v>Global</v>
      </c>
      <c r="F60" t="str">
        <v>Renta fija a corto plazo / liquidez</v>
      </c>
      <c r="G60" t="str">
        <v>Global Short Duration &amp; Liquidity strategies</v>
      </c>
      <c r="H60" t="str">
        <v>https://www.janushenderson.com/en-se/advisor/bio/dylan-bourke/</v>
      </c>
      <c r="I60" t="str">
        <v>NO_DATO</v>
      </c>
    </row>
    <row r="61" spans="1:9" x14ac:dyDescent="0.3">
      <c r="A61" t="str">
        <v>Eduardo Jimenez Martin, CFA, FRM</v>
      </c>
      <c r="B61" t="str">
        <v>Portfolio Manager</v>
      </c>
      <c r="C61" t="str">
        <v>Multiactivo</v>
      </c>
      <c r="D61" t="str">
        <v>Global multi-asset</v>
      </c>
      <c r="E61" t="str">
        <v>Global</v>
      </c>
      <c r="F61" t="str">
        <v>Multiactivo / asignación cuantitativa</v>
      </c>
      <c r="G61" t="str">
        <v>Multi-Asset strategies</v>
      </c>
      <c r="H61" t="str">
        <v>https://www.janushenderson.com/corporate/bio/eduardo-jimenez-martin-cfa-frm/</v>
      </c>
      <c r="I61" t="str">
        <v>NO_DATO</v>
      </c>
    </row>
    <row r="62" spans="1:9" x14ac:dyDescent="0.3">
      <c r="A62" t="str">
        <v>Edward Parcell</v>
      </c>
      <c r="B62" t="str">
        <v>Portfolio Manager</v>
      </c>
      <c r="C62" t="str">
        <v>Alternativos</v>
      </c>
      <c r="D62" t="str">
        <v>Diversified alternatives / multi-strategy</v>
      </c>
      <c r="E62" t="str">
        <v>Global</v>
      </c>
      <c r="F62" t="str">
        <v>Alternativos líquidos / sistemáticos</v>
      </c>
      <c r="G62" t="str">
        <v>Diversified Alternatives strategies</v>
      </c>
      <c r="H62" t="str">
        <v>https://www.janushenderson.com/en-gb/investor/bio/edward-parcell/</v>
      </c>
      <c r="I62" t="str">
        <v>NO_DATO</v>
      </c>
    </row>
    <row r="63" spans="1:9" x14ac:dyDescent="0.3">
      <c r="A63" t="str">
        <v>Edward Su, CFA</v>
      </c>
      <c r="B63" t="str">
        <v>Portfolio Manager | Research Analyst</v>
      </c>
      <c r="C63" t="str">
        <v>Renta variable</v>
      </c>
      <c r="D63" t="str">
        <v>Consumer equities</v>
      </c>
      <c r="E63" t="str">
        <v>Global</v>
      </c>
      <c r="F63" t="str">
        <v>Consumo global / growth</v>
      </c>
      <c r="G63" t="str">
        <v>Consumer Sector strategies</v>
      </c>
      <c r="H63" t="str">
        <v>https://www.janushenderson.com/en-us/advisor/bio/edward-su-cfa/</v>
      </c>
      <c r="I63" t="str">
        <v>NO_DATO</v>
      </c>
    </row>
    <row r="64" spans="1:9" x14ac:dyDescent="0.3">
      <c r="A64" t="str">
        <v>Faizan Baig, CFA</v>
      </c>
      <c r="B64" t="str">
        <v>Portfolio Manager</v>
      </c>
      <c r="C64" t="str">
        <v>Renta variable</v>
      </c>
      <c r="D64" t="str">
        <v>Global equity income</v>
      </c>
      <c r="E64" t="str">
        <v>Global</v>
      </c>
      <c r="F64" t="str">
        <v>Renta variable global de dividendo / income</v>
      </c>
      <c r="G64" t="str">
        <v>Global Equity Income strategies</v>
      </c>
      <c r="H64" t="str">
        <v>https://www.janushenderson.com/en-hk/investor/bio/faizan-baig-cfa/</v>
      </c>
      <c r="I64" t="str">
        <v>NO_DATO</v>
      </c>
    </row>
    <row r="65" spans="1:9" x14ac:dyDescent="0.3">
      <c r="A65" t="str">
        <v>Federico Borin</v>
      </c>
      <c r="B65" t="str">
        <v>Research Analyst</v>
      </c>
      <c r="C65" t="str">
        <v>Renta variable</v>
      </c>
      <c r="D65" t="str">
        <v>European equities</v>
      </c>
      <c r="E65" t="str">
        <v>Europa</v>
      </c>
      <c r="F65" t="str">
        <v>Renta variable europea</v>
      </c>
      <c r="G65" t="str">
        <v>European Equities strategies</v>
      </c>
      <c r="H65" t="str">
        <v>https://www.janushenderson.com/en-se/investor/bio/federico-borin/</v>
      </c>
      <c r="I65" t="str">
        <v>NO_DATO</v>
      </c>
    </row>
    <row r="66" spans="1:9" x14ac:dyDescent="0.3">
      <c r="A66" t="str">
        <v>Fei Wang, CFA, CAIA</v>
      </c>
      <c r="B66" t="str">
        <v>Portfolio Manager</v>
      </c>
      <c r="C66" t="str">
        <v>Alternativos</v>
      </c>
      <c r="D66" t="str">
        <v>Multi-strategy equity, diversified alternatives</v>
      </c>
      <c r="E66" t="str">
        <v>Global</v>
      </c>
      <c r="F66" t="str">
        <v>Alternativos líquidos / equity derivatives</v>
      </c>
      <c r="G66" t="str">
        <v>Multi-Strategy Equity, Diversified Alternatives</v>
      </c>
      <c r="H66" t="str">
        <v>https://www.janushenderson.com/corporate/bio/fei-wang-cfa/</v>
      </c>
      <c r="I66" t="str">
        <v>NO_DATO</v>
      </c>
    </row>
    <row r="67" spans="1:9" x14ac:dyDescent="0.3">
      <c r="A67" t="str">
        <v>Fran Radano, CFA</v>
      </c>
      <c r="B67" t="str">
        <v>Portfolio Manager</v>
      </c>
      <c r="C67" t="str">
        <v>Renta variable</v>
      </c>
      <c r="D67" t="str">
        <v>North American equity income</v>
      </c>
      <c r="E67" t="str">
        <v>Norteamérica</v>
      </c>
      <c r="F67" t="str">
        <v>Renta variable de dividendo en Norteamérica</v>
      </c>
      <c r="G67" t="str">
        <v>North American Income strategies</v>
      </c>
      <c r="H67" t="str">
        <v>https://www.janushenderson.com/en-us/advisor/bio/fran-radano-cfa/</v>
      </c>
      <c r="I67" t="str">
        <v>NO_DATO</v>
      </c>
    </row>
    <row r="68" spans="1:9" x14ac:dyDescent="0.3">
      <c r="A68" t="str">
        <v>Garrett Strum</v>
      </c>
      <c r="B68" t="str">
        <v>Portfolio Manager | Money Market Analyst</v>
      </c>
      <c r="C68" t="str">
        <v>Renta fija</v>
      </c>
      <c r="D68" t="str">
        <v>Money market / cash management</v>
      </c>
      <c r="E68" t="str">
        <v>Global</v>
      </c>
      <c r="F68" t="str">
        <v>Mercado monetario / liquidez</v>
      </c>
      <c r="G68" t="str">
        <v>Money Market strategies</v>
      </c>
      <c r="H68" t="str">
        <v>https://www.janushenderson.com/corporate/bio/garrett-strum/</v>
      </c>
      <c r="I68" t="str">
        <v>NO_DATO</v>
      </c>
    </row>
    <row r="69" spans="1:9" x14ac:dyDescent="0.3">
      <c r="A69" t="str">
        <v>Georgina Fogo</v>
      </c>
      <c r="B69" t="str">
        <v>Chief Risk Officer</v>
      </c>
      <c r="C69" t="str">
        <v>Perfil ejecutivo</v>
      </c>
      <c r="D69" t="str">
        <v>Riesgo y cumplimiento global</v>
      </c>
      <c r="E69" t="str">
        <v>Global</v>
      </c>
      <c r="F69" t="str">
        <v>Gestión de riesgos / regulación</v>
      </c>
      <c r="G69" t="str">
        <v>NO_DATO</v>
      </c>
      <c r="H69" t="str">
        <v>https://www.janushenderson.com/en-us/investor/bio/georgina-fogo/</v>
      </c>
      <c r="I69" t="str">
        <v>NO_DATO</v>
      </c>
    </row>
    <row r="70" spans="1:9" x14ac:dyDescent="0.3">
      <c r="A70" t="str">
        <v>Graeme Clark</v>
      </c>
      <c r="B70" t="str">
        <v>Portfolio Manager</v>
      </c>
      <c r="C70" t="str">
        <v>Renta variable</v>
      </c>
      <c r="D70" t="str">
        <v>Global technology equities</v>
      </c>
      <c r="E70" t="str">
        <v>Global</v>
      </c>
      <c r="F70" t="str">
        <v>Tecnología</v>
      </c>
      <c r="G70" t="str">
        <v>Global Technology Leaders strategies</v>
      </c>
      <c r="H70" t="str">
        <v>https://www.janushenderson.com/en-hk/investor/bio/graeme-clark/</v>
      </c>
      <c r="I70" t="str">
        <v>NO_DATO</v>
      </c>
    </row>
    <row r="71" spans="1:9" x14ac:dyDescent="0.3">
      <c r="A71" t="str">
        <v>Greg Kuhl, CFA</v>
      </c>
      <c r="B71" t="str">
        <v>Portfolio Manager</v>
      </c>
      <c r="C71" t="str">
        <v>Renta variable</v>
      </c>
      <c r="D71" t="str">
        <v>Global property equities</v>
      </c>
      <c r="E71" t="str">
        <v>Global</v>
      </c>
      <c r="F71" t="str">
        <v>Inmobiliario cotizado global</v>
      </c>
      <c r="G71" t="str">
        <v>Global Property Equities strategies</v>
      </c>
      <c r="H71" t="str">
        <v>https://www.janushenderson.com/corporate/bio/greg-kuhl-cfa/</v>
      </c>
      <c r="I71" t="str">
        <v>NO_DATO</v>
      </c>
    </row>
    <row r="72" spans="1:9" x14ac:dyDescent="0.3">
      <c r="A72" t="str">
        <v>Guy Barnard, CFA</v>
      </c>
      <c r="B72" t="str">
        <v>Co-Head of Global Property Equities | Portfolio Manager</v>
      </c>
      <c r="C72" t="str">
        <v>Renta variable</v>
      </c>
      <c r="D72" t="str">
        <v>Global property equities</v>
      </c>
      <c r="E72" t="str">
        <v>Global</v>
      </c>
      <c r="F72" t="str">
        <v>Inmobiliario cotizado global</v>
      </c>
      <c r="G72" t="str">
        <v>Global Property Equities strategies</v>
      </c>
      <c r="H72" t="str">
        <v>https://www.janushenderson.com/en-us/offshore/bio/guy-barnard/</v>
      </c>
      <c r="I72" t="str">
        <v>NO_DATO</v>
      </c>
    </row>
    <row r="73" spans="1:9" x14ac:dyDescent="0.3">
      <c r="A73" t="str">
        <v>Ian Bettney</v>
      </c>
      <c r="B73" t="str">
        <v>Portfolio Manager</v>
      </c>
      <c r="C73" t="str">
        <v>Renta fija</v>
      </c>
      <c r="D73" t="str">
        <v>ABS / secured credit</v>
      </c>
      <c r="E73" t="str">
        <v>Global</v>
      </c>
      <c r="F73" t="str">
        <v>Crédito titulizado / ABS</v>
      </c>
      <c r="G73" t="str">
        <v>Secured Credit strategies</v>
      </c>
      <c r="H73" t="str">
        <v>https://www.linkedin.com/in/ian-bettney-4a2b1024</v>
      </c>
      <c r="I73" t="str">
        <v>NO_DATO</v>
      </c>
    </row>
    <row r="74" spans="1:9" x14ac:dyDescent="0.3">
      <c r="A74" t="str">
        <v>Ignacio De La Maza</v>
      </c>
      <c r="B74" t="str">
        <v>Head of EMEA &amp; LatAm Client Group</v>
      </c>
      <c r="C74" t="str">
        <v>Perfil ejecutivo</v>
      </c>
      <c r="D74" t="str">
        <v>Distribución y negocio institucional EMEA &amp; LatAm</v>
      </c>
      <c r="E74" t="str">
        <v>Europa / Latinoamérica</v>
      </c>
      <c r="F74" t="str">
        <v>Relación con clientes / ventas institucionales</v>
      </c>
      <c r="G74" t="str">
        <v>NO_DATO</v>
      </c>
      <c r="H74" t="str">
        <v>https://www.janushenderson.com/es-es/investor/bio/ignacio-de-la-maza/</v>
      </c>
      <c r="I74" t="str">
        <v>NO_DATO</v>
      </c>
    </row>
    <row r="75" spans="1:9" x14ac:dyDescent="0.3">
      <c r="A75" t="str">
        <v>Indriatti van Hien, ACA, CFA</v>
      </c>
      <c r="B75" t="str">
        <v>Portfolio Manager</v>
      </c>
      <c r="C75" t="str">
        <v>Renta variable</v>
      </c>
      <c r="D75" t="str">
        <v>UK equities</v>
      </c>
      <c r="E75" t="str">
        <v>Reino Unido</v>
      </c>
      <c r="F75" t="str">
        <v>Renta variable británica / income &amp; alpha</v>
      </c>
      <c r="G75" t="str">
        <v>UK Equity &amp; UK Alpha strategies</v>
      </c>
      <c r="H75" t="str">
        <v>https://www.janushenderson.com/en-gb/investor/bio/indriatti-van-hien-aca-cfa/</v>
      </c>
      <c r="I75" t="str">
        <v>NO_DATO</v>
      </c>
    </row>
    <row r="76" spans="1:9" x14ac:dyDescent="0.3">
      <c r="A76" t="str">
        <v>Jacob Ellinge Nielsen</v>
      </c>
      <c r="B76" t="str">
        <v>Portfolio Manager</v>
      </c>
      <c r="C76" t="str">
        <v>Renta fija</v>
      </c>
      <c r="D76" t="str">
        <v>Emerging Markets Debt Hard Currency</v>
      </c>
      <c r="E76" t="str">
        <v>Mercados emergentes</v>
      </c>
      <c r="F76" t="str">
        <v>Deuda emergente en divisa fuerte</v>
      </c>
      <c r="G76" t="str">
        <v>EMD Hard Currency strategies</v>
      </c>
      <c r="H76" t="str">
        <v>https://www.janushenderson.com/en-us/institutional/bio/jacob-ellinge-nielsen/</v>
      </c>
      <c r="I76" t="str">
        <v>NO_DATO</v>
      </c>
    </row>
    <row r="77" spans="1:9" x14ac:dyDescent="0.3">
      <c r="A77" t="str">
        <v>James de Bunsen, CFA</v>
      </c>
      <c r="B77" t="str">
        <v>Portfolio Manager</v>
      </c>
      <c r="C77" t="str">
        <v>Multiactivo</v>
      </c>
      <c r="D77" t="str">
        <v>Multi-asset &amp; alternatives</v>
      </c>
      <c r="E77" t="str">
        <v>Global</v>
      </c>
      <c r="F77" t="str">
        <v>Multiactivo con alternativos / retorno absoluto</v>
      </c>
      <c r="G77" t="str">
        <v>Diversified Alternatives &amp; Multi-Asset Absolute Return funds</v>
      </c>
      <c r="H77" t="str">
        <v>https://www.janushenderson.com/en-us/offshore/bio/james-de-bunsen/</v>
      </c>
      <c r="I77" t="str">
        <v>NO_DATO</v>
      </c>
    </row>
    <row r="78" spans="1:9" x14ac:dyDescent="0.3">
      <c r="A78" t="str">
        <v>James Henderson</v>
      </c>
      <c r="B78" t="str">
        <v>Portfolio Manager</v>
      </c>
      <c r="C78" t="str">
        <v>Renta variable</v>
      </c>
      <c r="D78" t="str">
        <v>Global &amp; UK equity income</v>
      </c>
      <c r="E78" t="str">
        <v>Reino Unido / Global</v>
      </c>
      <c r="F78" t="str">
        <v>Renta variable de dividendo / income</v>
      </c>
      <c r="G78" t="str">
        <v>Global Equity Income &amp; UK Equity Income strategies</v>
      </c>
      <c r="H78" t="str">
        <v>https://www.janushenderson.com/en-be/advisor/bio/james-henderson/</v>
      </c>
      <c r="I78" t="str">
        <v>NO_DATO</v>
      </c>
    </row>
    <row r="79" spans="1:9" x14ac:dyDescent="0.3">
      <c r="A79" t="str">
        <v>Jamie Sandells, PhD</v>
      </c>
      <c r="B79" t="str">
        <v>Portfolio Manager</v>
      </c>
      <c r="C79" t="str">
        <v>Alternativos</v>
      </c>
      <c r="D79" t="str">
        <v>Structured income / equity-linked ETFs</v>
      </c>
      <c r="E79" t="str">
        <v>Global</v>
      </c>
      <c r="F79" t="str">
        <v>Alternativos / income estructurado</v>
      </c>
      <c r="G79" t="str">
        <v>Structured Income ETF strategies (JELH, JELM)</v>
      </c>
      <c r="H79" t="str">
        <v>NO_DATO</v>
      </c>
      <c r="I79" t="str">
        <v>NO_DATO</v>
      </c>
    </row>
    <row r="80" spans="1:9" x14ac:dyDescent="0.3">
      <c r="A80" t="str">
        <v>Jay Sivapalan, CFA</v>
      </c>
      <c r="B80" t="str">
        <v>Head of Australian Fixed Interest | Portfolio Manager</v>
      </c>
      <c r="C80" t="str">
        <v>Renta fija</v>
      </c>
      <c r="D80" t="str">
        <v>Australian fixed interest</v>
      </c>
      <c r="E80" t="str">
        <v>Australia</v>
      </c>
      <c r="F80" t="str">
        <v>Renta fija australiana / tipos y crédito</v>
      </c>
      <c r="G80" t="str">
        <v>Australian Fixed Interest strategies</v>
      </c>
      <c r="H80" t="str">
        <v>https://www.janushenderson.com/en-au/investor/bio/jay-sivapalan-cfa/</v>
      </c>
      <c r="I80" t="str">
        <v>NO_DATO</v>
      </c>
    </row>
    <row r="81" spans="1:9" x14ac:dyDescent="0.3">
      <c r="A81" t="str">
        <v>Jenna Barnard, CFA</v>
      </c>
      <c r="B81" t="str">
        <v>Head of Global Bonds | Portfolio Manager</v>
      </c>
      <c r="C81" t="str">
        <v>Renta fija</v>
      </c>
      <c r="D81" t="str">
        <v>Global bonds / strategic bond</v>
      </c>
      <c r="E81" t="str">
        <v>Global</v>
      </c>
      <c r="F81" t="str">
        <v>Bonos globales / renta fija flexible</v>
      </c>
      <c r="G81" t="str">
        <v>Strategic Bond y Global Bond strategies</v>
      </c>
      <c r="H81" t="str">
        <v>https://www.janushenderson.com/en-gb/investor/bio/jenna-barnard-cfa/</v>
      </c>
      <c r="I81" t="str">
        <v>NO_DATO</v>
      </c>
    </row>
    <row r="82" spans="1:9" x14ac:dyDescent="0.3">
      <c r="A82" t="str">
        <v>Jeremiah Buckley, CFA</v>
      </c>
      <c r="B82" t="str">
        <v>Portfolio Manager</v>
      </c>
      <c r="C82" t="str">
        <v>Renta variable</v>
      </c>
      <c r="D82" t="str">
        <v>US multi-sector large-cap equities</v>
      </c>
      <c r="E82" t="str">
        <v>Estados Unidos</v>
      </c>
      <c r="F82" t="str">
        <v>Renta variable estadounidense multitemática / balanced</v>
      </c>
      <c r="G82" t="str">
        <v>US Growth &amp; Balanced strategies</v>
      </c>
      <c r="H82" t="str">
        <v>https://www.janushenderson.com/en-us/advisor/bio/jeremiah-buckley/</v>
      </c>
      <c r="I82" t="str">
        <v>NO_DATO</v>
      </c>
    </row>
    <row r="83" spans="1:9" x14ac:dyDescent="0.3">
      <c r="A83" t="str">
        <v>Jeremy Tjaden, CFA</v>
      </c>
      <c r="B83" t="str">
        <v>Portfolio Manager | Analyst | Quantitative Solutions</v>
      </c>
      <c r="C83" t="str">
        <v>Renta variable</v>
      </c>
      <c r="D83" t="str">
        <v>Quantitative equity solutions</v>
      </c>
      <c r="E83" t="str">
        <v>Global</v>
      </c>
      <c r="F83" t="str">
        <v>Renta variable cuantitativa / indexada</v>
      </c>
      <c r="G83" t="str">
        <v>Quantitative Solutions strategies</v>
      </c>
      <c r="H83" t="str">
        <v>https://www.janushenderson.com/en-pt/advisor/bio/jeremy-tjaden-cfa/</v>
      </c>
      <c r="I83" t="str">
        <v>NO_DATO</v>
      </c>
    </row>
    <row r="84" spans="1:9" x14ac:dyDescent="0.3">
      <c r="A84" t="str">
        <v>Job Curtis, ASIP</v>
      </c>
      <c r="B84" t="str">
        <v>Portfolio Manager</v>
      </c>
      <c r="C84" t="str">
        <v>Renta variable</v>
      </c>
      <c r="D84" t="str">
        <v>UK &amp; global equity income</v>
      </c>
      <c r="E84" t="str">
        <v>Reino Unido / Global</v>
      </c>
      <c r="F84" t="str">
        <v>Renta variable de dividendo / income</v>
      </c>
      <c r="G84" t="str">
        <v>City of London Investment Trust &amp; Global Equity Income strategies</v>
      </c>
      <c r="H84" t="str">
        <v>https://www.marketscreener.com/insider/JOB-CURTIS-A03P0E/</v>
      </c>
      <c r="I84" t="str">
        <v>NO_DATO</v>
      </c>
    </row>
    <row r="85" spans="1:9" x14ac:dyDescent="0.3">
      <c r="A85" t="str">
        <v>John Griffiths</v>
      </c>
      <c r="B85" t="str">
        <v>Portfolio Manager</v>
      </c>
      <c r="C85" t="str">
        <v>Alternativos</v>
      </c>
      <c r="D85" t="str">
        <v>Diversified alternatives / absolute return</v>
      </c>
      <c r="E85" t="str">
        <v>Global</v>
      </c>
      <c r="F85" t="str">
        <v>Alternativos líquidos / retorno absoluto</v>
      </c>
      <c r="G85" t="str">
        <v>Diversified Alternatives strategies</v>
      </c>
      <c r="H85" t="str">
        <v>https://www.janushenderson.com/corporate/bio/john-griffiths/</v>
      </c>
      <c r="I85" t="str">
        <v>NO_DATO</v>
      </c>
    </row>
    <row r="86" spans="1:9" x14ac:dyDescent="0.3">
      <c r="A86" t="str">
        <v>John Jordan</v>
      </c>
      <c r="B86" t="str">
        <v>Portfolio Manager | Research Analyst</v>
      </c>
      <c r="C86" t="str">
        <v>Renta variable</v>
      </c>
      <c r="D86" t="str">
        <v>Global financials equities</v>
      </c>
      <c r="E86" t="str">
        <v>Global</v>
      </c>
      <c r="F86" t="str">
        <v>Sector financiero global</v>
      </c>
      <c r="G86" t="str">
        <v>Global Financials strategies</v>
      </c>
      <c r="H86" t="str">
        <v>https://www.janushenderson.com/en-gb/adviser/bio/john-jordan/</v>
      </c>
      <c r="I86" t="str">
        <v>NO_DATO</v>
      </c>
    </row>
    <row r="87" spans="1:9" x14ac:dyDescent="0.3">
      <c r="A87" t="str">
        <v>John Kerschner, CFA</v>
      </c>
      <c r="B87" t="str">
        <v>Global Head of Securitised Products | Portfolio Manager</v>
      </c>
      <c r="C87" t="str">
        <v>Renta fija</v>
      </c>
      <c r="D87" t="str">
        <v>Securitised products / structured credit</v>
      </c>
      <c r="E87" t="str">
        <v>Global</v>
      </c>
      <c r="F87" t="str">
        <v>Crédito titulizado / MBS / ABS</v>
      </c>
      <c r="G87" t="str">
        <v>Securitised Credit &amp; Core Plus strategies</v>
      </c>
      <c r="H87" t="str">
        <v>https://www.janushenderson.com/en-gb/investor/bio/john-kerschner/</v>
      </c>
      <c r="I87" t="str">
        <v>NO_DATO</v>
      </c>
    </row>
    <row r="88" spans="1:9" x14ac:dyDescent="0.3">
      <c r="A88" t="str">
        <v>John King</v>
      </c>
      <c r="B88" t="str">
        <v>Associate Portfolio Manager</v>
      </c>
      <c r="C88" t="str">
        <v>Alternativos</v>
      </c>
      <c r="D88" t="str">
        <v>Diversified alternatives</v>
      </c>
      <c r="E88" t="str">
        <v>Global</v>
      </c>
      <c r="F88" t="str">
        <v>Alternativos líquidos / multiestrategia</v>
      </c>
      <c r="G88" t="str">
        <v>Diversified Alternatives strategies</v>
      </c>
      <c r="H88" t="str">
        <v>https://www.janushenderson.com/en-us/investor/bio/john-king/</v>
      </c>
      <c r="I88" t="str">
        <v>NO_DATO</v>
      </c>
    </row>
    <row r="89" spans="1:9" x14ac:dyDescent="0.3">
      <c r="A89" t="str">
        <v>John Lloyd</v>
      </c>
      <c r="B89" t="str">
        <v>Global Head of Multi-Sector Credit | Portfolio Manager</v>
      </c>
      <c r="C89" t="str">
        <v>Renta fija</v>
      </c>
      <c r="D89" t="str">
        <v>Multi-sector credit</v>
      </c>
      <c r="E89" t="str">
        <v>Global</v>
      </c>
      <c r="F89" t="str">
        <v>Crédito multisectorial / investment grade y high yield</v>
      </c>
      <c r="G89" t="str">
        <v>Multi-Sector Credit strategies</v>
      </c>
      <c r="H89" t="str">
        <v>https://www.janushenderson.com/en-gb/adviser/bio/john-lloyd/</v>
      </c>
      <c r="I89" t="str">
        <v>NO_DATO</v>
      </c>
    </row>
    <row r="90" spans="1:9" x14ac:dyDescent="0.3">
      <c r="A90" t="str">
        <v>Jonathan Cofsky, CFA</v>
      </c>
      <c r="B90" t="str">
        <v>Portfolio Manager | Research Analyst | Technology Co-Sector Lead</v>
      </c>
      <c r="C90" t="str">
        <v>Renta variable</v>
      </c>
      <c r="D90" t="str">
        <v>Global technology &amp; innovation equities</v>
      </c>
      <c r="E90" t="str">
        <v>Global</v>
      </c>
      <c r="F90" t="str">
        <v>Tecnología</v>
      </c>
      <c r="G90" t="str">
        <v>Global Technology &amp; Innovation strategies</v>
      </c>
      <c r="H90" t="str">
        <v>https://www.janushenderson.com/en-us/advisor/bio/jonathan-cofsky-cfa/</v>
      </c>
      <c r="I90" t="str">
        <v>NO_DATO</v>
      </c>
    </row>
    <row r="91" spans="1:9" x14ac:dyDescent="0.3">
      <c r="A91" t="str">
        <v>Jonathan Coleman, CFA</v>
      </c>
      <c r="B91" t="str">
        <v>Portfolio Manager</v>
      </c>
      <c r="C91" t="str">
        <v>Renta variable</v>
      </c>
      <c r="D91" t="str">
        <v>US small/mid-cap growth</v>
      </c>
      <c r="E91" t="str">
        <v>Estados Unidos</v>
      </c>
      <c r="F91" t="str">
        <v>Small &amp; mid cap growth</v>
      </c>
      <c r="G91" t="str">
        <v>US SMID Cap Growth &amp; US Small Company Growth strategies</v>
      </c>
      <c r="H91" t="str">
        <v>https://www.janushenderson.com/bio/jonathan-coleman-cfa/</v>
      </c>
      <c r="I91" t="str">
        <v>NO_DATO</v>
      </c>
    </row>
    <row r="92" spans="1:9" x14ac:dyDescent="0.3">
      <c r="A92" t="str">
        <v>Joshua Cummings, CFA</v>
      </c>
      <c r="B92" t="str">
        <v>Portfolio Manager | Research Analyst</v>
      </c>
      <c r="C92" t="str">
        <v>Renta variable</v>
      </c>
      <c r="D92" t="str">
        <v>US consumer &amp; communications equities</v>
      </c>
      <c r="E92" t="str">
        <v>Estados Unidos</v>
      </c>
      <c r="F92" t="str">
        <v>Consumo y comunicaciones</v>
      </c>
      <c r="G92" t="str">
        <v>Consumer &amp; Communications Sector strategies</v>
      </c>
      <c r="H92" t="str">
        <v>https://www.janushenderson.com/en-us/advisor/bio/joshua-cummings-cfa/</v>
      </c>
      <c r="I92" t="str">
        <v>NO_DATO</v>
      </c>
    </row>
    <row r="93" spans="1:9" x14ac:dyDescent="0.3">
      <c r="A93" t="str">
        <v>Julia Scheufler, CFA</v>
      </c>
      <c r="B93" t="str">
        <v>Portfolio Manager</v>
      </c>
      <c r="C93" t="str">
        <v>Renta variable</v>
      </c>
      <c r="D93" t="str">
        <v>European small &amp; mid-cap equities</v>
      </c>
      <c r="E93" t="str">
        <v>Europa</v>
      </c>
      <c r="F93" t="str">
        <v>Renta variable europea / small &amp; mid caps</v>
      </c>
      <c r="G93" t="str">
        <v>European Small &amp; Mid Cap strategies</v>
      </c>
      <c r="H93" t="str">
        <v>https://www.janushenderson.com/en-us/advisor/bio/julia-scheufler-cfa/</v>
      </c>
      <c r="I93" t="str">
        <v>NO_DATO</v>
      </c>
    </row>
    <row r="94" spans="1:9" x14ac:dyDescent="0.3">
      <c r="A94" t="str">
        <v>Junichi Inoue</v>
      </c>
      <c r="B94" t="str">
        <v>Head of Japanese Equities | Portfolio Manager</v>
      </c>
      <c r="C94" t="str">
        <v>Renta variable</v>
      </c>
      <c r="D94" t="str">
        <v>Japanese equities high conviction</v>
      </c>
      <c r="E94" t="str">
        <v>Japón</v>
      </c>
      <c r="F94" t="str">
        <v>Renta variable japonesa / reformas corporativas</v>
      </c>
      <c r="G94" t="str">
        <v>Japan High Conviction Equity strategies</v>
      </c>
      <c r="H94" t="str">
        <v>https://www.janushenderson.com/en-gb/adviser/bio/junichi-inoue/</v>
      </c>
      <c r="I94" t="str">
        <v>NO_DATO</v>
      </c>
    </row>
    <row r="95" spans="1:9" x14ac:dyDescent="0.3">
      <c r="A95" t="str">
        <v>Kris Bernie</v>
      </c>
      <c r="B95" t="str">
        <v>Portfolio Manager</v>
      </c>
      <c r="C95" t="str">
        <v>Renta fija</v>
      </c>
      <c r="D95" t="str">
        <v>Global short duration &amp; liquidity</v>
      </c>
      <c r="E95" t="str">
        <v>Global</v>
      </c>
      <c r="F95" t="str">
        <v>Renta fija a corto plazo / liquidez</v>
      </c>
      <c r="G95" t="str">
        <v>Global Short Duration &amp; Liquidity strategies</v>
      </c>
      <c r="H95" t="str">
        <v>https://www.janushenderson.com/corporate/bio/kris-bernie/</v>
      </c>
      <c r="I95" t="str">
        <v>NO_DATO</v>
      </c>
    </row>
    <row r="96" spans="1:9" x14ac:dyDescent="0.3">
      <c r="A96" t="str">
        <v>Lance Yoshihara</v>
      </c>
      <c r="B96" t="str">
        <v>Portfolio Manager</v>
      </c>
      <c r="C96" t="str">
        <v>Alternativos</v>
      </c>
      <c r="D96" t="str">
        <v>Diversified alternatives</v>
      </c>
      <c r="E96" t="str">
        <v>Global</v>
      </c>
      <c r="F96" t="str">
        <v>Alternativos líquidos / multiestrategia</v>
      </c>
      <c r="G96" t="str">
        <v>Diversified Alternatives strategies</v>
      </c>
      <c r="H96" t="str">
        <v>https://www.janushenderson.com/es-es/investor/bio/lance-yoshihara/</v>
      </c>
      <c r="I96" t="str">
        <v>NO_DATO</v>
      </c>
    </row>
    <row r="97" spans="1:9" x14ac:dyDescent="0.3">
      <c r="A97" t="str">
        <v>Larry Cohen</v>
      </c>
      <c r="B97" t="str">
        <v>Chief Transformation &amp; Operating Officer</v>
      </c>
      <c r="C97" t="str">
        <v>Perfil ejecutivo</v>
      </c>
      <c r="D97" t="str">
        <v>Transformación y operaciones</v>
      </c>
      <c r="E97" t="str">
        <v>Global</v>
      </c>
      <c r="F97" t="str">
        <v>Operaciones / tecnología / cambio organizativo</v>
      </c>
      <c r="G97" t="str">
        <v>NO_DATO</v>
      </c>
      <c r="H97" t="str">
        <v>https://www.janushenderson.com/middle-east/institutional/bio/larry-cohen/</v>
      </c>
      <c r="I97" t="str">
        <v>NO_DATO</v>
      </c>
    </row>
    <row r="98" spans="1:9" x14ac:dyDescent="0.3">
      <c r="A98" t="str">
        <v>Laura Foll, CFA</v>
      </c>
      <c r="B98" t="str">
        <v>Portfolio Manager</v>
      </c>
      <c r="C98" t="str">
        <v>Renta variable</v>
      </c>
      <c r="D98" t="str">
        <v>Global &amp; UK equity income</v>
      </c>
      <c r="E98" t="str">
        <v>Reino Unido / Global</v>
      </c>
      <c r="F98" t="str">
        <v>Renta variable de dividendo / income</v>
      </c>
      <c r="G98" t="str">
        <v>Global Equity Income &amp; UK Equity Income strategies</v>
      </c>
      <c r="H98" t="str">
        <v>https://www.janushenderson.com/en-pt/advisor/bio/laura-foll/</v>
      </c>
      <c r="I98" t="str">
        <v>NO_DATO</v>
      </c>
    </row>
    <row r="99" spans="1:9" x14ac:dyDescent="0.3">
      <c r="A99" t="str">
        <v>Lucas Klein</v>
      </c>
      <c r="B99" t="str">
        <v>Head of EMEA and Asia Pacific Equities</v>
      </c>
      <c r="C99" t="str">
        <v>Renta variable</v>
      </c>
      <c r="D99" t="str">
        <v>Equity leadership EMEA &amp; Asia Pacific</v>
      </c>
      <c r="E99" t="str">
        <v>Europa / Asia Pacífico</v>
      </c>
      <c r="F99" t="str">
        <v>Gestión de equipos de renta variable</v>
      </c>
      <c r="G99" t="str">
        <v>NO_DATO</v>
      </c>
      <c r="H99" t="str">
        <v>https://www.janushenderson.com/en-us/advisor/bio/lucas-klein/</v>
      </c>
      <c r="I99" t="str">
        <v>NO_DATO</v>
      </c>
    </row>
    <row r="100" spans="1:9" x14ac:dyDescent="0.3">
      <c r="A100" t="str">
        <v>Lucy Holden, CFA</v>
      </c>
      <c r="B100" t="str">
        <v>Portfolio Manager</v>
      </c>
      <c r="C100" t="str">
        <v>Alternativos</v>
      </c>
      <c r="D100" t="str">
        <v>Diversified alternatives / quantitative</v>
      </c>
      <c r="E100" t="str">
        <v>Global</v>
      </c>
      <c r="F100" t="str">
        <v>Alternativos líquidos / multiestrategia cuantitativa</v>
      </c>
      <c r="G100" t="str">
        <v>Diversified Alternatives strategies</v>
      </c>
      <c r="H100" t="str">
        <v>https://www.janushenderson.com/en-hk/investor/bio/lucy-holden-cfa/</v>
      </c>
      <c r="I100" t="str">
        <v>NO_DATO</v>
      </c>
    </row>
    <row r="101" spans="1:9" x14ac:dyDescent="0.3">
      <c r="A101" t="str">
        <v>Luke Newman</v>
      </c>
      <c r="B101" t="str">
        <v>Portfolio Manager</v>
      </c>
      <c r="C101" t="str">
        <v>Renta variable</v>
      </c>
      <c r="D101" t="str">
        <v>Absolute return equities (long/short)</v>
      </c>
      <c r="E101" t="str">
        <v>Europa</v>
      </c>
      <c r="F101" t="str">
        <v>Renta variable long/short / retorno absoluto</v>
      </c>
      <c r="G101" t="str">
        <v>Absolute Return Equity strategies</v>
      </c>
      <c r="H101" t="str">
        <v>https://www.janushenderson.com/en-no/advisor/bio/luke-newman/</v>
      </c>
      <c r="I101" t="str">
        <v>NO_DATO</v>
      </c>
    </row>
    <row r="102" spans="1:9" x14ac:dyDescent="0.3">
      <c r="A102" t="str">
        <v>Marc Pinto, CFA</v>
      </c>
      <c r="B102" t="str">
        <v>Head of Americas Equities</v>
      </c>
      <c r="C102" t="str">
        <v>Renta variable</v>
      </c>
      <c r="D102" t="str">
        <v>Americas equities leadership</v>
      </c>
      <c r="E102" t="str">
        <v>América</v>
      </c>
      <c r="F102" t="str">
        <v>Renta variable estadounidense / gestión de equipos</v>
      </c>
      <c r="G102" t="str">
        <v>NO_DATO</v>
      </c>
      <c r="H102" t="str">
        <v>https://www.janushenderson.com/en-hk/investor/bio/marc-pinto-cfa/</v>
      </c>
      <c r="I102" t="str">
        <v>NO_DATO</v>
      </c>
    </row>
    <row r="103" spans="1:9" x14ac:dyDescent="0.3">
      <c r="A103" t="str">
        <v>Marc Schartz, CFA</v>
      </c>
      <c r="B103" t="str">
        <v>Portfolio Manager</v>
      </c>
      <c r="C103" t="str">
        <v>Renta variable</v>
      </c>
      <c r="D103" t="str">
        <v>European equities (small &amp; mid caps)</v>
      </c>
      <c r="E103" t="str">
        <v>Europa</v>
      </c>
      <c r="F103" t="str">
        <v>Renta variable europea / small &amp; mid caps</v>
      </c>
      <c r="G103" t="str">
        <v>European Equities strategies</v>
      </c>
      <c r="H103" t="str">
        <v>https://www.janushenderson.com/en-au/investor/bio/marc-schartz-cfa/</v>
      </c>
      <c r="I103" t="str">
        <v>NO_DATO</v>
      </c>
    </row>
    <row r="104" spans="1:9" x14ac:dyDescent="0.3">
      <c r="A104" t="str">
        <v>Matthew Culley</v>
      </c>
      <c r="B104" t="str">
        <v>Portfolio Manager</v>
      </c>
      <c r="C104" t="str">
        <v>Renta variable</v>
      </c>
      <c r="D104" t="str">
        <v>Emerging markets equities</v>
      </c>
      <c r="E104" t="str">
        <v>Mercados emergentes</v>
      </c>
      <c r="F104" t="str">
        <v>Renta variable emergente</v>
      </c>
      <c r="G104" t="str">
        <v>Emerging Market Equity strategies</v>
      </c>
      <c r="H104" t="str">
        <v>https://www.janushenderson.com/en-hk/investor/bio/matthew-culley/</v>
      </c>
      <c r="I104" t="str">
        <v>NO_DATO</v>
      </c>
    </row>
    <row r="105" spans="1:9" x14ac:dyDescent="0.3">
      <c r="A105" t="str">
        <v>Megan Podzorov</v>
      </c>
      <c r="B105" t="str">
        <v>Chief People Officer</v>
      </c>
      <c r="C105" t="str">
        <v>Perfil ejecutivo</v>
      </c>
      <c r="D105" t="str">
        <v>People / HR leadership</v>
      </c>
      <c r="E105" t="str">
        <v>Global</v>
      </c>
      <c r="F105" t="str">
        <v>Recursos humanos / talento</v>
      </c>
      <c r="G105" t="str">
        <v>NO_DATO</v>
      </c>
      <c r="H105" t="str">
        <v>https://www.janushenderson.com/en-us/advisor/bio/megan-podzorov/</v>
      </c>
      <c r="I105" t="str">
        <v>NO_DATO</v>
      </c>
    </row>
    <row r="106" spans="1:9" x14ac:dyDescent="0.3">
      <c r="A106" t="str">
        <v>Michael Keough</v>
      </c>
      <c r="B106" t="str">
        <v>Portfolio Manager</v>
      </c>
      <c r="C106" t="str">
        <v>Renta fija</v>
      </c>
      <c r="D106" t="str">
        <v>Corporate credit &amp; Core Plus</v>
      </c>
      <c r="E106" t="str">
        <v>Global</v>
      </c>
      <c r="F106" t="str">
        <v>Crédito corporativo / renta fija Core Plus</v>
      </c>
      <c r="G106" t="str">
        <v>Corporate Credit &amp; Core Plus strategies</v>
      </c>
      <c r="H106" t="str">
        <v>https://www.janushenderson.com/en-ch/investor/bio/michael-keough/</v>
      </c>
      <c r="I106" t="str">
        <v>NO_DATO</v>
      </c>
    </row>
    <row r="107" spans="1:9" x14ac:dyDescent="0.3">
      <c r="A107" t="str">
        <v>Michael Schweitzer</v>
      </c>
      <c r="B107" t="str">
        <v>Head of North America and Asia Pacific Client Group</v>
      </c>
      <c r="C107" t="str">
        <v>Perfil ejecutivo</v>
      </c>
      <c r="D107" t="str">
        <v>Client group leadership North America &amp; APAC</v>
      </c>
      <c r="E107" t="str">
        <v>América / Asia Pacífico</v>
      </c>
      <c r="F107" t="str">
        <v>Distribución / clientes institucionales</v>
      </c>
      <c r="G107" t="str">
        <v>NO_DATO</v>
      </c>
      <c r="H107" t="str">
        <v>https://www.janushenderson.com/de-ch/advisor/bio/michael-schweitzer/</v>
      </c>
      <c r="I107" t="str">
        <v>NO_DATO</v>
      </c>
    </row>
    <row r="108" spans="1:9" x14ac:dyDescent="0.3">
      <c r="A108" t="str">
        <v>Michelle Rosenberg</v>
      </c>
      <c r="B108" t="str">
        <v>Chief Administrative Officer and General Counsel</v>
      </c>
      <c r="C108" t="str">
        <v>Perfil ejecutivo</v>
      </c>
      <c r="D108" t="str">
        <v>Legal &amp; administrative leadership</v>
      </c>
      <c r="E108" t="str">
        <v>Global</v>
      </c>
      <c r="F108" t="str">
        <v>Asuntos legales / gobierno corporativo</v>
      </c>
      <c r="G108" t="str">
        <v>NO_DATO</v>
      </c>
      <c r="H108" t="str">
        <v>https://www.janushendersoncharitable.org/bio/michelle-rosenberg/</v>
      </c>
      <c r="I108" t="str">
        <v>NO_DATO</v>
      </c>
    </row>
    <row r="109" spans="1:9" x14ac:dyDescent="0.3">
      <c r="A109" t="str">
        <v>Natasha Sibley, CFA</v>
      </c>
      <c r="B109" t="str">
        <v>Portfolio Manager</v>
      </c>
      <c r="C109" t="str">
        <v>Alternativos</v>
      </c>
      <c r="D109" t="str">
        <v>Diversified alternatives</v>
      </c>
      <c r="E109" t="str">
        <v>Global</v>
      </c>
      <c r="F109" t="str">
        <v>Alternativos líquidos / retorno absoluto</v>
      </c>
      <c r="G109" t="str">
        <v>Diversified Alternatives strategies</v>
      </c>
      <c r="H109" t="str">
        <v>https://www.janushenderson.com/en-us/advisor/bio/natasha-sibley-cfa/</v>
      </c>
      <c r="I109" t="str">
        <v>NO_DATO</v>
      </c>
    </row>
    <row r="110" spans="1:9" x14ac:dyDescent="0.3">
      <c r="A110" t="str">
        <v>Nicholas Ware</v>
      </c>
      <c r="B110" t="str">
        <v>Portfolio Manager</v>
      </c>
      <c r="C110" t="str">
        <v>Renta fija</v>
      </c>
      <c r="D110" t="str">
        <v>Global bonds / strategic fixed income</v>
      </c>
      <c r="E110" t="str">
        <v>Global</v>
      </c>
      <c r="F110" t="str">
        <v>Strategic bond / crédito global</v>
      </c>
      <c r="G110" t="str">
        <v>Strategic Bond &amp; Global Bond strategies</v>
      </c>
      <c r="H110" t="str">
        <v>https://www.janushenderson.com/en-gb/adviser/bio/nicholas-ware/</v>
      </c>
      <c r="I110" t="str">
        <v>NO_DATO</v>
      </c>
    </row>
    <row r="111" spans="1:9" x14ac:dyDescent="0.3">
      <c r="A111" t="str">
        <v>Nick Childs, CFA</v>
      </c>
      <c r="B111" t="str">
        <v>Head of Structured and Quantitative Fixed Income | Portfolio Manager</v>
      </c>
      <c r="C111" t="str">
        <v>Renta fija</v>
      </c>
      <c r="D111" t="str">
        <v>Structured &amp; quantitative fixed income / securitised credit</v>
      </c>
      <c r="E111" t="str">
        <v>Global</v>
      </c>
      <c r="F111" t="str">
        <v>Renta fija estructurada / titulizaciones</v>
      </c>
      <c r="G111" t="str">
        <v>Structured &amp; Quantitative Fixed Income and Securitised Credit strategies</v>
      </c>
      <c r="H111" t="str">
        <v>https://www.janushenderson.com/en-us/advisor/bio/nick-childs-cfa/</v>
      </c>
      <c r="I111" t="str">
        <v>NO_DATO</v>
      </c>
    </row>
    <row r="112" spans="1:9" x14ac:dyDescent="0.3">
      <c r="A112" t="str">
        <v>Nick Harper, CFA</v>
      </c>
      <c r="B112" t="str">
        <v>Portfolio Manager</v>
      </c>
      <c r="C112" t="str">
        <v>Multiactivo</v>
      </c>
      <c r="D112" t="str">
        <v>Multi-asset risk-managed portfolios</v>
      </c>
      <c r="E112" t="str">
        <v>Global</v>
      </c>
      <c r="F112" t="str">
        <v>Multiactivo / asignación de activos</v>
      </c>
      <c r="G112" t="str">
        <v>Multi-Asset strategies</v>
      </c>
      <c r="H112" t="str">
        <v>https://www.janushenderson.com/en-gb/adviser/bio/nick-harper-cfa/</v>
      </c>
      <c r="I112" t="str">
        <v>NO_DATO</v>
      </c>
    </row>
    <row r="113" spans="1:9" x14ac:dyDescent="0.3">
      <c r="A113" t="str">
        <v>Nick Sheridan</v>
      </c>
      <c r="B113" t="str">
        <v>Portfolio Manager</v>
      </c>
      <c r="C113" t="str">
        <v>Renta variable</v>
      </c>
      <c r="D113" t="str">
        <v>European equities &amp; global smaller companies</v>
      </c>
      <c r="E113" t="str">
        <v>Europa / Global</v>
      </c>
      <c r="F113" t="str">
        <v>Renta variable europea y small caps globales</v>
      </c>
      <c r="G113" t="str">
        <v>Global Smaller Companies &amp; European Equities strategies</v>
      </c>
      <c r="H113" t="str">
        <v>https://www.janushenderson.com/en-gb/adviser/bio/nick-sheridan/</v>
      </c>
      <c r="I113" t="str">
        <v>NO_DATO</v>
      </c>
    </row>
    <row r="114" spans="1:9" x14ac:dyDescent="0.3">
      <c r="A114" t="str">
        <v>Nicolas Scherf</v>
      </c>
      <c r="B114" t="str">
        <v>Portfolio Manager</v>
      </c>
      <c r="C114" t="str">
        <v>Renta variable</v>
      </c>
      <c r="D114" t="str">
        <v>Global property equities</v>
      </c>
      <c r="E114" t="str">
        <v>Global</v>
      </c>
      <c r="F114" t="str">
        <v>Inmobiliario cotizado global</v>
      </c>
      <c r="G114" t="str">
        <v>Global Property Equities strategies</v>
      </c>
      <c r="H114" t="str">
        <v>https://www.janushenderson.com/en-us/advisor/bio/nicolas-scherf/</v>
      </c>
      <c r="I114" t="str">
        <v>NO_DATO</v>
      </c>
    </row>
    <row r="115" spans="1:9" x14ac:dyDescent="0.3">
      <c r="A115" t="str">
        <v>Oliver Bardot, CFA</v>
      </c>
      <c r="B115" t="str">
        <v>Portfolio Manager</v>
      </c>
      <c r="C115" t="str">
        <v>Renta fija</v>
      </c>
      <c r="D115" t="str">
        <v>Global bonds / strategic bond</v>
      </c>
      <c r="E115" t="str">
        <v>Global</v>
      </c>
      <c r="F115" t="str">
        <v>Bonos globales / crédito IG y HY</v>
      </c>
      <c r="G115" t="str">
        <v>Strategic Bond &amp; Global Bond strategies</v>
      </c>
      <c r="H115" t="str">
        <v>https://www.janushenderson.com/corporate/bio/oliver-bardot-cfa/</v>
      </c>
      <c r="I115" t="str">
        <v>NO_DATO</v>
      </c>
    </row>
    <row r="116" spans="1:9" x14ac:dyDescent="0.3">
      <c r="A116" t="str">
        <v>Ollie Beckett</v>
      </c>
      <c r="B116" t="str">
        <v>Portfolio Manager</v>
      </c>
      <c r="C116" t="str">
        <v>Renta variable</v>
      </c>
      <c r="D116" t="str">
        <v>European equities / small &amp; mid cap</v>
      </c>
      <c r="E116" t="str">
        <v>Europa</v>
      </c>
      <c r="F116" t="str">
        <v>Renta variable europea / small caps</v>
      </c>
      <c r="G116" t="str">
        <v>European Equities strategies</v>
      </c>
      <c r="H116" t="str">
        <v>https://www.janushenderson.com/corporate/bio/ollie-beckett/</v>
      </c>
      <c r="I116" t="str">
        <v>NO_DATO</v>
      </c>
    </row>
    <row r="117" spans="1:9" x14ac:dyDescent="0.3">
      <c r="A117" t="str">
        <v>Priyank Shah</v>
      </c>
      <c r="B117" t="str">
        <v>Portfolio Manager</v>
      </c>
      <c r="C117" t="str">
        <v>Renta fija</v>
      </c>
      <c r="D117" t="str">
        <v>Global short duration &amp; liquidity</v>
      </c>
      <c r="E117" t="str">
        <v>Global</v>
      </c>
      <c r="F117" t="str">
        <v>Renta fija corto plazo / gestión de tipos y divisas</v>
      </c>
      <c r="G117" t="str">
        <v>Global Short Duration &amp; Liquidity strategies</v>
      </c>
      <c r="H117" t="str">
        <v>https://www.janushenderson.com/en-gb/investor/bio/priyank-shah/</v>
      </c>
      <c r="I117" t="str">
        <v>NO_DATO</v>
      </c>
    </row>
    <row r="118" spans="1:9" x14ac:dyDescent="0.3">
      <c r="A118" t="str">
        <v>Richard Clode, CFA</v>
      </c>
      <c r="B118" t="str">
        <v>Portfolio Manager</v>
      </c>
      <c r="C118" t="str">
        <v>Renta variable</v>
      </c>
      <c r="D118" t="str">
        <v>Global technology equities</v>
      </c>
      <c r="E118" t="str">
        <v>Global</v>
      </c>
      <c r="F118" t="str">
        <v>Tecnología</v>
      </c>
      <c r="G118" t="str">
        <v>Global Technology Leaders strategies</v>
      </c>
      <c r="H118" t="str">
        <v>https://www.janushenderson.com/en-gb/investor/bio/richard-clode/</v>
      </c>
      <c r="I118" t="str">
        <v>NO_DATO</v>
      </c>
    </row>
    <row r="119" spans="1:9" x14ac:dyDescent="0.3">
      <c r="A119" t="str">
        <v>Robert Roszkowski</v>
      </c>
      <c r="B119" t="str">
        <v>Portfolio Manager</v>
      </c>
      <c r="C119" t="str">
        <v>Renta fija</v>
      </c>
      <c r="D119" t="str">
        <v>Global short duration &amp; liquidity</v>
      </c>
      <c r="E119" t="str">
        <v>Global</v>
      </c>
      <c r="F119" t="str">
        <v>Renta fija corto plazo / modelos cuantitativos</v>
      </c>
      <c r="G119" t="str">
        <v>Global Short Duration &amp; Liquidity strategies</v>
      </c>
      <c r="H119" t="str">
        <v>https://www.janushenderson.com/en-us/institutional/bio/robert-roszkowski/</v>
      </c>
      <c r="I119" t="str">
        <v>NO_DATO</v>
      </c>
    </row>
    <row r="120" spans="1:9" x14ac:dyDescent="0.3">
      <c r="A120" t="str">
        <v>Robert Schramm-Fuchs</v>
      </c>
      <c r="B120" t="str">
        <v>Portfolio Manager</v>
      </c>
      <c r="C120" t="str">
        <v>Renta variable</v>
      </c>
      <c r="D120" t="str">
        <v>European large-cap equities</v>
      </c>
      <c r="E120" t="str">
        <v>Europa</v>
      </c>
      <c r="F120" t="str">
        <v>Renta variable europea / large cap</v>
      </c>
      <c r="G120" t="str">
        <v>European Large Cap Equities strategies</v>
      </c>
      <c r="H120" t="str">
        <v>https://www.janushenderson.com/en-gb/investor/bio/robert-schramm-fuchs/</v>
      </c>
      <c r="I120" t="str">
        <v>NO_DATO</v>
      </c>
    </row>
    <row r="121" spans="1:9" x14ac:dyDescent="0.3">
      <c r="A121" t="str">
        <v>Rory Stokes, CFA</v>
      </c>
      <c r="B121" t="str">
        <v>Portfolio Manager</v>
      </c>
      <c r="C121" t="str">
        <v>Renta variable</v>
      </c>
      <c r="D121" t="str">
        <v>European equities</v>
      </c>
      <c r="E121" t="str">
        <v>Europa</v>
      </c>
      <c r="F121" t="str">
        <v>Renta variable europea</v>
      </c>
      <c r="G121" t="str">
        <v>European Equities strategies</v>
      </c>
      <c r="H121" t="str">
        <v>https://www.janushenderson.com/latam-other/advisor/bio/rory-stokes-cfa/</v>
      </c>
      <c r="I121" t="str">
        <v>NO_DATO</v>
      </c>
    </row>
    <row r="122" spans="1:9" x14ac:dyDescent="0.3">
      <c r="A122" t="str">
        <v>Sat Duhra</v>
      </c>
      <c r="B122" t="str">
        <v>Portfolio Manager</v>
      </c>
      <c r="C122" t="str">
        <v>Renta variable</v>
      </c>
      <c r="D122" t="str">
        <v>Asia ex Japan equities</v>
      </c>
      <c r="E122" t="str">
        <v>Asia Pacífico (ex Japón)</v>
      </c>
      <c r="F122" t="str">
        <v>Renta variable asiática</v>
      </c>
      <c r="G122" t="str">
        <v>Asia ex Japan Equity strategies</v>
      </c>
      <c r="H122" t="str">
        <v>https://www.janushenderson.com/en-gb/adviser/bio/sat-duhra/</v>
      </c>
      <c r="I122" t="str">
        <v>NO_DATO</v>
      </c>
    </row>
    <row r="123" spans="1:9" x14ac:dyDescent="0.3">
      <c r="A123" t="str">
        <v>Scott Stutzman, CFA</v>
      </c>
      <c r="B123" t="str">
        <v>Portfolio Manager | Research Analyst</v>
      </c>
      <c r="C123" t="str">
        <v>Renta variable</v>
      </c>
      <c r="D123" t="str">
        <v>US small/mid-cap growth equities</v>
      </c>
      <c r="E123" t="str">
        <v>Estados Unidos</v>
      </c>
      <c r="F123" t="str">
        <v>Small &amp; mid cap growth / industriales y materiales</v>
      </c>
      <c r="G123" t="str">
        <v>US Small/Mid-Cap Growth strategies</v>
      </c>
      <c r="H123" t="str">
        <v>https://www.janushenderson.com/en-us/advisor/bio/scott-stutzman-cfa/</v>
      </c>
      <c r="I123" t="str">
        <v>NO_DATO</v>
      </c>
    </row>
    <row r="124" spans="1:9" x14ac:dyDescent="0.3">
      <c r="A124" t="str">
        <v>Seth Meyer, CFA</v>
      </c>
      <c r="B124" t="str">
        <v>Global Head of Client Portfolio Management | Portfolio Manager</v>
      </c>
      <c r="C124" t="str">
        <v>Renta variable / Renta fija</v>
      </c>
      <c r="D124" t="str">
        <v>Client portfolio management (equity &amp; FI)</v>
      </c>
      <c r="E124" t="str">
        <v>Global</v>
      </c>
      <c r="F124" t="str">
        <v>Comunicación con clientes / estrategia comercial multi-clase de activo</v>
      </c>
      <c r="G124" t="str">
        <v>NO_DATO</v>
      </c>
      <c r="H124" t="str">
        <v>https://www.janushenderson.com/en-us/advisor/bio/seth-meyer-cfa/</v>
      </c>
      <c r="I124" t="str">
        <v>NO_DATO</v>
      </c>
    </row>
    <row r="125" spans="1:9" x14ac:dyDescent="0.3">
      <c r="A125" t="str">
        <v>Shan Kwee, CFA</v>
      </c>
      <c r="B125" t="str">
        <v>Portfolio Manager</v>
      </c>
      <c r="C125" t="str">
        <v>Renta fija</v>
      </c>
      <c r="D125" t="str">
        <v>Australian fixed interest / credit ESG</v>
      </c>
      <c r="E125" t="str">
        <v>Australia</v>
      </c>
      <c r="F125" t="str">
        <v>Renta fija australiana / crédito ESG</v>
      </c>
      <c r="G125" t="str">
        <v>Australian Fixed Interest strategies</v>
      </c>
      <c r="H125" t="str">
        <v>https://www.janushenderson.com/en-us/advisor/bio/shan-kwee-cfa/</v>
      </c>
      <c r="I125" t="str">
        <v>NO_DATO</v>
      </c>
    </row>
    <row r="126" spans="1:9" x14ac:dyDescent="0.3">
      <c r="A126" t="str">
        <v>Shivam Sedani, CFA</v>
      </c>
      <c r="B126" t="str">
        <v>Portfolio Manager</v>
      </c>
      <c r="C126" t="str">
        <v>Renta variable</v>
      </c>
      <c r="D126" t="str">
        <v>UK equities</v>
      </c>
      <c r="E126" t="str">
        <v>Reino Unido</v>
      </c>
      <c r="F126" t="str">
        <v>Renta variable británica</v>
      </c>
      <c r="G126" t="str">
        <v>UK Equities strategies</v>
      </c>
      <c r="H126" t="str">
        <v>https://www.janushenderson.com/en-gb/investor/bio/shivam-sedani/</v>
      </c>
      <c r="I126" t="str">
        <v>NO_DATO</v>
      </c>
    </row>
    <row r="127" spans="1:9" x14ac:dyDescent="0.3">
      <c r="A127" t="str">
        <v>Sorin Pirău, CFA</v>
      </c>
      <c r="B127" t="str">
        <v>Portfolio Manager</v>
      </c>
      <c r="C127" t="str">
        <v>Renta fija</v>
      </c>
      <c r="D127" t="str">
        <v>Emerging Markets Debt Hard Currency</v>
      </c>
      <c r="E127" t="str">
        <v>Mercados emergentes</v>
      </c>
      <c r="F127" t="str">
        <v>Deuda emergente en divisa fuerte</v>
      </c>
      <c r="G127" t="str">
        <v>EMD Hard Currency strategies</v>
      </c>
      <c r="H127" t="str">
        <v>https://www.janushenderson.com/corporate/bio/sorin-pirau-cfa/</v>
      </c>
      <c r="I127" t="str">
        <v>NO_DATO</v>
      </c>
    </row>
    <row r="128" spans="1:9" x14ac:dyDescent="0.3">
      <c r="A128" t="str">
        <v>Taf Mugwagwa, PhD</v>
      </c>
      <c r="B128" t="str">
        <v>Portfolio Manager</v>
      </c>
      <c r="C128" t="str">
        <v>Renta fija</v>
      </c>
      <c r="D128" t="str">
        <v>Australian fixed interest</v>
      </c>
      <c r="E128" t="str">
        <v>Australia</v>
      </c>
      <c r="F128" t="str">
        <v>Renta fija australiana / duración y crédito</v>
      </c>
      <c r="G128" t="str">
        <v>Australian Fixed Interest strategies</v>
      </c>
      <c r="H128" t="str">
        <v>https://www.janushenderson.com/en-au/investor/bio/taf-mugwagwa/</v>
      </c>
      <c r="I128" t="str">
        <v>NO_DATO</v>
      </c>
    </row>
    <row r="129" spans="1:9" x14ac:dyDescent="0.3">
      <c r="A129" t="str">
        <v>Tal Lomnitzer, CFA</v>
      </c>
      <c r="B129" t="str">
        <v>Senior Investment Manager</v>
      </c>
      <c r="C129" t="str">
        <v>Renta variable</v>
      </c>
      <c r="D129" t="str">
        <v>Global sustainable equity</v>
      </c>
      <c r="E129" t="str">
        <v>Global</v>
      </c>
      <c r="F129" t="str">
        <v>ESG / sostenibilidad / recursos naturales</v>
      </c>
      <c r="G129" t="str">
        <v>Global Sustainable Equity strategies</v>
      </c>
      <c r="H129" t="str">
        <v>https://www.janushenderson.com/en-au/adviser/bio/tal-lomnitzer-cfa/</v>
      </c>
      <c r="I129" t="str">
        <v>NO_DATO</v>
      </c>
    </row>
    <row r="130" spans="1:9" x14ac:dyDescent="0.3">
      <c r="A130" t="str">
        <v>Thomas Haugaard</v>
      </c>
      <c r="B130" t="str">
        <v>Portfolio Manager</v>
      </c>
      <c r="C130" t="str">
        <v>Renta fija</v>
      </c>
      <c r="D130" t="str">
        <v>Emerging Markets Debt Hard Currency</v>
      </c>
      <c r="E130" t="str">
        <v>Mercados emergentes</v>
      </c>
      <c r="F130" t="str">
        <v>Deuda emergente en divisa fuerte</v>
      </c>
      <c r="G130" t="str">
        <v>EMD Hard Currency strategies</v>
      </c>
      <c r="H130" t="str">
        <v>https://www.janushenderson.com/en-be/advisor/bio/thomas-haugaard/</v>
      </c>
      <c r="I130" t="str">
        <v>NO_DATO</v>
      </c>
    </row>
    <row r="131" spans="1:9" x14ac:dyDescent="0.3">
      <c r="A131" t="str">
        <v>Tihana Ibrahimpasic, CFA</v>
      </c>
      <c r="B131" t="str">
        <v>Portfolio Manager</v>
      </c>
      <c r="C131" t="str">
        <v>Multiactivo</v>
      </c>
      <c r="D131" t="str">
        <v>Multi-asset</v>
      </c>
      <c r="E131" t="str">
        <v>Global</v>
      </c>
      <c r="F131" t="str">
        <v>Multiactivo / asignación táctica de activos</v>
      </c>
      <c r="G131" t="str">
        <v>Multi-Asset strategies</v>
      </c>
      <c r="H131" t="str">
        <v>https://www.janushenderson.com/en-ie/advisor/bio/tihana-ibrahimpasic-cfa/</v>
      </c>
      <c r="I131" t="str">
        <v>NO_DATO</v>
      </c>
    </row>
    <row r="132" spans="1:9" x14ac:dyDescent="0.3">
      <c r="A132" t="str">
        <v>Tim Gibson</v>
      </c>
      <c r="B132" t="str">
        <v>Co-Head of Global Property Equities | Portfolio Manager</v>
      </c>
      <c r="C132" t="str">
        <v>Renta variable</v>
      </c>
      <c r="D132" t="str">
        <v>Global property equities</v>
      </c>
      <c r="E132" t="str">
        <v>Asia Pacífico / Global</v>
      </c>
      <c r="F132" t="str">
        <v>Inmobiliario cotizado global / Asia</v>
      </c>
      <c r="G132" t="str">
        <v>Global Property Equities strategies</v>
      </c>
      <c r="H132" t="str">
        <v>https://www.janushenderson.com/en-us/investor/bio/tim-gibson/</v>
      </c>
      <c r="I132" t="str">
        <v>NO_DATO</v>
      </c>
    </row>
    <row r="133" spans="1:9" x14ac:dyDescent="0.3">
      <c r="A133" t="str">
        <v>Tom Ross, CFA</v>
      </c>
      <c r="B133" t="str">
        <v>Head of High Yield | Portfolio Manager</v>
      </c>
      <c r="C133" t="str">
        <v>Renta fija</v>
      </c>
      <c r="D133" t="str">
        <v>Global high yield credit</v>
      </c>
      <c r="E133" t="str">
        <v>Global</v>
      </c>
      <c r="F133" t="str">
        <v>High yield / crédito especulativo</v>
      </c>
      <c r="G133" t="str">
        <v>High Yield strategies</v>
      </c>
      <c r="H133" t="str">
        <v>https://www.janushenderson.com/en-gb/investor/bio/tom-ross/</v>
      </c>
      <c r="I133" t="str">
        <v>NO_DATO</v>
      </c>
    </row>
    <row r="134" spans="1:9" x14ac:dyDescent="0.3">
      <c r="A134" t="str">
        <v>Victoria Mio, CFA</v>
      </c>
      <c r="B134" t="str">
        <v>Head of Greater China Equities &amp; Portfolio Manager</v>
      </c>
      <c r="C134" t="str">
        <v>Renta variable</v>
      </c>
      <c r="D134" t="str">
        <v>Greater China equities</v>
      </c>
      <c r="E134" t="str">
        <v>China / Asia</v>
      </c>
      <c r="F134" t="str">
        <v>Renta variable China / mercados emergentes asiáticos</v>
      </c>
      <c r="G134" t="str">
        <v>Greater China Equities strategies</v>
      </c>
      <c r="H134" t="str">
        <v>NO_DATO</v>
      </c>
      <c r="I134" t="str">
        <v>NO_DATO</v>
      </c>
    </row>
    <row r="135" spans="1:9" x14ac:dyDescent="0.3">
      <c r="A135" t="str">
        <v>Xin Yan Low</v>
      </c>
      <c r="B135" t="str">
        <v>Portfolio Manager</v>
      </c>
      <c r="C135" t="str">
        <v>Renta variable</v>
      </c>
      <c r="D135" t="str">
        <v>Global property equities / ASEAN</v>
      </c>
      <c r="E135" t="str">
        <v>Asia Pacífico / Global</v>
      </c>
      <c r="F135" t="str">
        <v>Inmobiliario cotizado Asia-Pacífico</v>
      </c>
      <c r="G135" t="str">
        <v>Global Property Equities strategies</v>
      </c>
      <c r="H135" t="str">
        <v>https://www.janushenderson.com/en-sg/investor/bio/xin-yan-low/</v>
      </c>
      <c r="I135" t="str">
        <v>NO_DATO</v>
      </c>
    </row>
    <row r="136" spans="1:9" x14ac:dyDescent="0.3">
      <c r="A136" t="str">
        <v>Yunyoung Lee, CFA</v>
      </c>
      <c r="B136" t="str">
        <v>Portfolio Manager</v>
      </c>
      <c r="C136" t="str">
        <v>Renta variable</v>
      </c>
      <c r="D136" t="str">
        <v>Japanese equities (small cap)</v>
      </c>
      <c r="E136" t="str">
        <v>Japón</v>
      </c>
      <c r="F136" t="str">
        <v>Renta variable japonesa / small cap</v>
      </c>
      <c r="G136" t="str">
        <v>Japanese Equities strategies</v>
      </c>
      <c r="H136" t="str">
        <v>https://www.janushenderson.com/en-gb/adviser/bio/yunyoung-lee-cfa/</v>
      </c>
      <c r="I136" t="str">
        <v>NO_DATO</v>
      </c>
    </row>
    <row r="137" spans="1:9" x14ac:dyDescent="0.3">
      <c r="A137" t="str">
        <v>Zoey Zhu, CFA</v>
      </c>
      <c r="B137" t="str">
        <v>Portfolio Manager | Quantitative Solutions</v>
      </c>
      <c r="C137" t="str">
        <v>Renta variable</v>
      </c>
      <c r="D137" t="str">
        <v>Quantitative solutions / factor strategies</v>
      </c>
      <c r="E137" t="str">
        <v>Global</v>
      </c>
      <c r="F137" t="str">
        <v>Renta variable cuantitativa / factor investing</v>
      </c>
      <c r="G137" t="str">
        <v>Quantitative Solutions strategies</v>
      </c>
      <c r="H137" t="str">
        <v>https://www.janushenderson.com/en-hk/investor/bio/zoey-zhu-cfa/</v>
      </c>
      <c r="I137" t="str">
        <v>NO_DATO</v>
      </c>
    </row>
    <row r="138" spans="1:9" x14ac:dyDescent="0.3">
      <c r="A138" t="str">
        <v>William Cassidy</v>
      </c>
      <c r="B138" t="str">
        <v>Chief Technology Officer</v>
      </c>
      <c r="C138" t="str">
        <v>Perfil ejecutivo</v>
      </c>
      <c r="D138" t="str">
        <v>Tecnología e infraestructura corporativa</v>
      </c>
      <c r="E138" t="str">
        <v>Global</v>
      </c>
      <c r="F138" t="str">
        <v>Estrategia tecnológica / innovación / datos</v>
      </c>
      <c r="G138" t="str">
        <v>NO_DATO</v>
      </c>
      <c r="H138" t="str">
        <v>https://www.janushenderson.com/en/row/bio/william-cassidy/</v>
      </c>
      <c r="I138" t="str">
        <v>NO_DATO</v>
      </c>
    </row>
    <row r="146" spans="1:11" ht="17.399999999999999" x14ac:dyDescent="0.35">
      <c r="A146" s="14" t="s">
        <v>630</v>
      </c>
    </row>
    <row r="148" spans="1:11" x14ac:dyDescent="0.3">
      <c r="A148" t="s">
        <v>623</v>
      </c>
      <c r="B148" t="s">
        <v>624</v>
      </c>
      <c r="C148" t="s">
        <v>631</v>
      </c>
      <c r="D148" t="s">
        <v>617</v>
      </c>
      <c r="E148" t="s">
        <v>618</v>
      </c>
      <c r="F148" t="s">
        <v>619</v>
      </c>
      <c r="G148" t="s">
        <v>626</v>
      </c>
      <c r="H148" t="s">
        <v>627</v>
      </c>
      <c r="I148" t="s">
        <v>632</v>
      </c>
      <c r="J148" t="s">
        <v>633</v>
      </c>
      <c r="K148" t="s">
        <v>634</v>
      </c>
    </row>
    <row r="149" spans="1:11" x14ac:dyDescent="0.3">
      <c r="A149" t="str">
        <f>IFERROR(IF(JHers!A3="","",JHers!A3),"")</f>
        <v>Allan Maymin</v>
      </c>
      <c r="B149" t="str">
        <f>IFERROR(IF(JHers!B3="","",JHers!B3),"")</f>
        <v>Co-Head of Global Asset Allocation | Portfolio Manager</v>
      </c>
      <c r="C149" t="str">
        <f>IFERROR(IF(JHers!C3="","",JHers!C3),"")</f>
        <v>Portfolio Manager</v>
      </c>
      <c r="D149" t="str">
        <f>IFERROR(IF(JHers!D3="","",JHers!D3),"")</f>
        <v>Multiactivo</v>
      </c>
      <c r="E149" t="str">
        <f>IFERROR(IF(JHers!E3="","",JHers!E3),"")</f>
        <v>Global adaptive multi-asset allocation</v>
      </c>
      <c r="F149" t="str">
        <f>IFERROR(IF(JHers!F3="","",JHers!F3),"")</f>
        <v>Global</v>
      </c>
      <c r="G149" t="str">
        <f>IFERROR(IF(JHers!G3="","",JHers!G3),"")</f>
        <v>Asignación de activos / multiactivo cuantitativo</v>
      </c>
      <c r="H149" t="str">
        <f>IFERROR(IF(JHers!H3="","",JHers!H3),"")</f>
        <v>Global Adaptive Multi-Asset Fund</v>
      </c>
      <c r="I149" t="str">
        <f>IFERROR(IF(JHers!I3="","",JHers!I3),"")</f>
        <v>IE000757TN66</v>
      </c>
      <c r="J149" t="str">
        <f>IFERROR(IF(JHers!J3="","",JHers!J3),"")</f>
        <v>https://www.janushenderson.com/corporate/bio/allan-maymin/</v>
      </c>
      <c r="K149" t="str">
        <f>IFERROR(IF(JHers!K3="","",JHers!K3),"")</f>
        <v>https://www.janushenderson.com/es-es/advisor/product/janus-henderson-global-adaptive-multi-asset-fund/</v>
      </c>
    </row>
    <row r="150" spans="1:11" x14ac:dyDescent="0.3">
      <c r="A150" t="str">
        <f>IFERROR(IF(JHers!A4="","",JHers!A4),"")</f>
        <v>Daniel Sullivan</v>
      </c>
      <c r="B150" t="str">
        <f>IFERROR(IF(JHers!B4="","",JHers!B4),"")</f>
        <v>Portfolio Manager (Head of Global Natural Resources)</v>
      </c>
      <c r="C150" t="str">
        <f>IFERROR(IF(JHers!C4="","",JHers!C4),"")</f>
        <v>Portfolio Manager</v>
      </c>
      <c r="D150" t="str">
        <f>IFERROR(IF(JHers!D4="","",JHers!D4),"")</f>
        <v>Renta variable</v>
      </c>
      <c r="E150" t="str">
        <f>IFERROR(IF(JHers!E4="","",JHers!E4),"")</f>
        <v>Global natural resources equities</v>
      </c>
      <c r="F150" t="str">
        <f>IFERROR(IF(JHers!F4="","",JHers!F4),"")</f>
        <v>Global</v>
      </c>
      <c r="G150" t="str">
        <f>IFERROR(IF(JHers!G4="","",JHers!G4),"")</f>
        <v>Recursos naturales / energía / transición energética</v>
      </c>
      <c r="H150" t="str">
        <f>IFERROR(IF(JHers!H4="","",JHers!H4),"")</f>
        <v>Global Natural Resources Fund</v>
      </c>
      <c r="I150" t="str">
        <f>IFERROR(IF(JHers!I4="","",JHers!I4),"")</f>
        <v>ETL0331AU</v>
      </c>
      <c r="J150" t="str">
        <f>IFERROR(IF(JHers!J4="","",JHers!J4),"")</f>
        <v>https://www.janushenderson.com/corporate/bio/daniel-sullivan/</v>
      </c>
      <c r="K150" t="str">
        <f>IFERROR(IF(JHers!K4="","",JHers!K4),"")</f>
        <v>https://www.janushenderson.com/en-au/adviser/product/janus-henderson-global-natural-resources-fund/</v>
      </c>
    </row>
    <row r="151" spans="1:11" x14ac:dyDescent="0.3">
      <c r="A151" t="str">
        <f>IFERROR(IF(JHers!A5="","",JHers!A5),"")</f>
        <v>Darko Kuzmanovic</v>
      </c>
      <c r="B151" t="str">
        <f>IFERROR(IF(JHers!B5="","",JHers!B5),"")</f>
        <v>Portfolio Manager (Global Natural Resources Team)</v>
      </c>
      <c r="C151" t="str">
        <f>IFERROR(IF(JHers!C5="","",JHers!C5),"")</f>
        <v>Portfolio Manager</v>
      </c>
      <c r="D151" t="str">
        <f>IFERROR(IF(JHers!D5="","",JHers!D5),"")</f>
        <v>Renta variable</v>
      </c>
      <c r="E151" t="str">
        <f>IFERROR(IF(JHers!E5="","",JHers!E5),"")</f>
        <v>Global natural resources equities</v>
      </c>
      <c r="F151" t="str">
        <f>IFERROR(IF(JHers!F5="","",JHers!F5),"")</f>
        <v>Global</v>
      </c>
      <c r="G151" t="str">
        <f>IFERROR(IF(JHers!G5="","",JHers!G5),"")</f>
        <v>Recursos naturales / minería / energía</v>
      </c>
      <c r="H151" t="str">
        <f>IFERROR(IF(JHers!H5="","",JHers!H5),"")</f>
        <v>Global Natural Resources Fund</v>
      </c>
      <c r="I151" t="str">
        <f>IFERROR(IF(JHers!I5="","",JHers!I5),"")</f>
        <v>ETL0331AU</v>
      </c>
      <c r="J151" t="str">
        <f>IFERROR(IF(JHers!J5="","",JHers!J5),"")</f>
        <v>https://www.janushenderson.com/en-au/investor/bio/darko-kuzmanovic/</v>
      </c>
      <c r="K151" t="str">
        <f>IFERROR(IF(JHers!K5="","",JHers!K5),"")</f>
        <v>https://www.janushenderson.com/en-au/adviser/product/janus-henderson-global-natural-resources-fund/</v>
      </c>
    </row>
    <row r="152" spans="1:11" x14ac:dyDescent="0.3">
      <c r="A152" t="str">
        <f>IFERROR(IF(JHers!A6="","",JHers!A6),"")</f>
        <v>Dillan Shah, CFA</v>
      </c>
      <c r="B152" t="str">
        <f>IFERROR(IF(JHers!B6="","",JHers!B6),"")</f>
        <v>Quantitative Research Analyst</v>
      </c>
      <c r="C152" t="str">
        <f>IFERROR(IF(JHers!C6="","",JHers!C6),"")</f>
        <v>Analista</v>
      </c>
      <c r="D152" t="str">
        <f>IFERROR(IF(JHers!D6="","",JHers!D6),"")</f>
        <v>Renta fija</v>
      </c>
      <c r="E152" t="str">
        <f>IFERROR(IF(JHers!E6="","",JHers!E6),"")</f>
        <v>Renta fija global cuantitativa</v>
      </c>
      <c r="F152" t="str">
        <f>IFERROR(IF(JHers!F6="","",JHers!F6),"")</f>
        <v>Global</v>
      </c>
      <c r="G152" t="str">
        <f>IFERROR(IF(JHers!G6="","",JHers!G6),"")</f>
        <v>Bonos globales / renta fija cuantitativa</v>
      </c>
      <c r="H152" t="str">
        <f>IFERROR(IF(JHers!H6="","",JHers!H6),"")</f>
        <v>NO_DATO</v>
      </c>
      <c r="I152" t="str">
        <f>IFERROR(IF(JHers!I6="","",JHers!I6),"")</f>
        <v>NO_DATO</v>
      </c>
      <c r="J152" t="str">
        <f>IFERROR(IF(JHers!J6="","",JHers!J6),"")</f>
        <v>https://www.janushenderson.com/en-us/advisor/bio/dillan-shah/</v>
      </c>
      <c r="K152" t="str">
        <f>IFERROR(IF(JHers!K6="","",JHers!K6),"")</f>
        <v>NO_DATO</v>
      </c>
    </row>
    <row r="153" spans="1:11" x14ac:dyDescent="0.3">
      <c r="A153" t="str">
        <f>IFERROR(IF(JHers!A7="","",JHers!A7),"")</f>
        <v>James Briggs, CFA</v>
      </c>
      <c r="B153" t="str">
        <f>IFERROR(IF(JHers!B7="","",JHers!B7),"")</f>
        <v>Portfolio Manager (Corporate Credit Team)</v>
      </c>
      <c r="C153" t="str">
        <f>IFERROR(IF(JHers!C7="","",JHers!C7),"")</f>
        <v>Portfolio Manager</v>
      </c>
      <c r="D153" t="str">
        <f>IFERROR(IF(JHers!D7="","",JHers!D7),"")</f>
        <v>Renta fija</v>
      </c>
      <c r="E153" t="str">
        <f>IFERROR(IF(JHers!E7="","",JHers!E7),"")</f>
        <v>Crédito corporativo investment grade / Buy &amp; Maintain</v>
      </c>
      <c r="F153" t="str">
        <f>IFERROR(IF(JHers!F7="","",JHers!F7),"")</f>
        <v>Global</v>
      </c>
      <c r="G153" t="str">
        <f>IFERROR(IF(JHers!G7="","",JHers!G7),"")</f>
        <v>Crédito corporativo IG / carteras buy &amp; maintain / ESG en renta fija</v>
      </c>
      <c r="H153" t="str">
        <f>IFERROR(IF(JHers!H7="","",JHers!H7),"")</f>
        <v>Global Investment Grade &amp; Buy and Maintain Credit Strategies</v>
      </c>
      <c r="I153" t="str">
        <f>IFERROR(IF(JHers!I7="","",JHers!I7),"")</f>
        <v>NO_DATO</v>
      </c>
      <c r="J153" t="str">
        <f>IFERROR(IF(JHers!J7="","",JHers!J7),"")</f>
        <v>https://www.janushenderson.com/en-gb/investor/bio/james-briggs-aca-cfa/</v>
      </c>
      <c r="K153" t="str">
        <f>IFERROR(IF(JHers!K7="","",JHers!K7),"")</f>
        <v>NO_DATO</v>
      </c>
    </row>
    <row r="154" spans="1:11" x14ac:dyDescent="0.3">
      <c r="A154" t="str">
        <f>IFERROR(IF(JHers!A8="","",JHers!A8),"")</f>
        <v>Mark Richardson</v>
      </c>
      <c r="B154" t="str">
        <f>IFERROR(IF(JHers!B8="","",JHers!B8),"")</f>
        <v>Portfolio Manager (Diversified Alternatives Team)</v>
      </c>
      <c r="C154" t="str">
        <f>IFERROR(IF(JHers!C8="","",JHers!C8),"")</f>
        <v>Portfolio Manager</v>
      </c>
      <c r="D154" t="str">
        <f>IFERROR(IF(JHers!D8="","",JHers!D8),"")</f>
        <v>Alternativos</v>
      </c>
      <c r="E154" t="str">
        <f>IFERROR(IF(JHers!E8="","",JHers!E8),"")</f>
        <v>Diversified alternatives / estrategias cuantitativas</v>
      </c>
      <c r="F154" t="str">
        <f>IFERROR(IF(JHers!F8="","",JHers!F8),"")</f>
        <v>Global</v>
      </c>
      <c r="G154" t="str">
        <f>IFERROR(IF(JHers!G8="","",JHers!G8),"")</f>
        <v>Alternativos líquidos / estrategias sistemáticas</v>
      </c>
      <c r="H154" t="str">
        <f>IFERROR(IF(JHers!H8="","",JHers!H8),"")</f>
        <v>Diversified Alternatives quantitative strategies</v>
      </c>
      <c r="I154" t="str">
        <f>IFERROR(IF(JHers!I8="","",JHers!I8),"")</f>
        <v>NO_DATO</v>
      </c>
      <c r="J154" t="str">
        <f>IFERROR(IF(JHers!J8="","",JHers!J8),"")</f>
        <v>https://www.janushenderson.com/en-be/advisor/bio/mark-richardson-dphil/</v>
      </c>
      <c r="K154" t="str">
        <f>IFERROR(IF(JHers!K8="","",JHers!K8),"")</f>
        <v>NO_DATO</v>
      </c>
    </row>
    <row r="155" spans="1:11" x14ac:dyDescent="0.3">
      <c r="A155" t="str">
        <f>IFERROR(IF(JHers!A9="","",JHers!A9),"")</f>
        <v>Nick Schommer, CFA</v>
      </c>
      <c r="B155" t="str">
        <f>IFERROR(IF(JHers!B9="","",JHers!B9),"")</f>
        <v>Portfolio Manager</v>
      </c>
      <c r="C155" t="str">
        <f>IFERROR(IF(JHers!C9="","",JHers!C9),"")</f>
        <v>Portfolio Manager</v>
      </c>
      <c r="D155" t="str">
        <f>IFERROR(IF(JHers!D9="","",JHers!D9),"")</f>
        <v>Renta variable</v>
      </c>
      <c r="E155" t="str">
        <f>IFERROR(IF(JHers!E9="","",JHers!E9),"")</f>
        <v>US large/mid-cap growth</v>
      </c>
      <c r="F155" t="str">
        <f>IFERROR(IF(JHers!F9="","",JHers!F9),"")</f>
        <v>Estados Unidos</v>
      </c>
      <c r="G155" t="str">
        <f>IFERROR(IF(JHers!G9="","",JHers!G9),"")</f>
        <v>Renta variable estadounidense growth</v>
      </c>
      <c r="H155" t="str">
        <f>IFERROR(IF(JHers!H9="","",JHers!H9),"")</f>
        <v>US Growth / related US equity growth strategies</v>
      </c>
      <c r="I155" t="str">
        <f>IFERROR(IF(JHers!I9="","",JHers!I9),"")</f>
        <v>NO_DATO</v>
      </c>
      <c r="J155" t="str">
        <f>IFERROR(IF(JHers!J9="","",JHers!J9),"")</f>
        <v>https://www.janushenderson.com/en-us/advisor/bio/nick-schommer-cfa/</v>
      </c>
      <c r="K155" t="str">
        <f>IFERROR(IF(JHers!K9="","",JHers!K9),"")</f>
        <v>NO_DATO</v>
      </c>
    </row>
    <row r="156" spans="1:11" x14ac:dyDescent="0.3">
      <c r="A156" t="str">
        <f>IFERROR(IF(JHers!A10="","",JHers!A10),"")</f>
        <v>Nick Schommer, CFA</v>
      </c>
      <c r="B156" t="str">
        <f>IFERROR(IF(JHers!B10="","",JHers!B10),"")</f>
        <v>Portfolio Manager</v>
      </c>
      <c r="C156" t="str">
        <f>IFERROR(IF(JHers!C10="","",JHers!C10),"")</f>
        <v>Portfolio Manager</v>
      </c>
      <c r="D156" t="str">
        <f>IFERROR(IF(JHers!D10="","",JHers!D10),"")</f>
        <v>Renta variable</v>
      </c>
      <c r="E156" t="str">
        <f>IFERROR(IF(JHers!E10="","",JHers!E10),"")</f>
        <v>US mid-cap blend / contrarian</v>
      </c>
      <c r="F156" t="str">
        <f>IFERROR(IF(JHers!F10="","",JHers!F10),"")</f>
        <v>Estados Unidos</v>
      </c>
      <c r="G156" t="str">
        <f>IFERROR(IF(JHers!G10="","",JHers!G10),"")</f>
        <v>Renta variable estadounidense / enfoque contrarian</v>
      </c>
      <c r="H156" t="str">
        <f>IFERROR(IF(JHers!H10="","",JHers!H10),"")</f>
        <v>Janus Henderson Contrarian Fund</v>
      </c>
      <c r="I156" t="str">
        <f>IFERROR(IF(JHers!I10="","",JHers!I10),"")</f>
        <v>NO_DATO</v>
      </c>
      <c r="J156" t="str">
        <f>IFERROR(IF(JHers!J10="","",JHers!J10),"")</f>
        <v>https://www.janushenderson.com/en-us/advisor/bio/nick-schommer-cfa/</v>
      </c>
      <c r="K156" t="str">
        <f>IFERROR(IF(JHers!K10="","",JHers!K10),"")</f>
        <v>NO_DATO</v>
      </c>
    </row>
    <row r="157" spans="1:11" x14ac:dyDescent="0.3">
      <c r="A157" t="str">
        <f>IFERROR(IF(JHers!A11="","",JHers!A11),"")</f>
        <v>Oliver Blackbourn, CFA</v>
      </c>
      <c r="B157" t="str">
        <f>IFERROR(IF(JHers!B11="","",JHers!B11),"")</f>
        <v>Portfolio Manager (Multi-Asset Team)</v>
      </c>
      <c r="C157" t="str">
        <f>IFERROR(IF(JHers!C11="","",JHers!C11),"")</f>
        <v>Portfolio Manager</v>
      </c>
      <c r="D157" t="str">
        <f>IFERROR(IF(JHers!D11="","",JHers!D11),"")</f>
        <v>Multiactivo</v>
      </c>
      <c r="E157" t="str">
        <f>IFERROR(IF(JHers!E11="","",JHers!E11),"")</f>
        <v>Flexible multi-asset portfolios</v>
      </c>
      <c r="F157" t="str">
        <f>IFERROR(IF(JHers!F11="","",JHers!F11),"")</f>
        <v>Global</v>
      </c>
      <c r="G157" t="str">
        <f>IFERROR(IF(JHers!G11="","",JHers!G11),"")</f>
        <v>Multiactivo global / visión macro</v>
      </c>
      <c r="H157" t="str">
        <f>IFERROR(IF(JHers!H11="","",JHers!H11),"")</f>
        <v>Multi-Asset flexible strategies</v>
      </c>
      <c r="I157" t="str">
        <f>IFERROR(IF(JHers!I11="","",JHers!I11),"")</f>
        <v>NO_DATO</v>
      </c>
      <c r="J157" t="str">
        <f>IFERROR(IF(JHers!J11="","",JHers!J11),"")</f>
        <v>https://www.janushenderson.com/en-gb/investor/bio/oliver-blackbourn-cfa/</v>
      </c>
      <c r="K157" t="str">
        <f>IFERROR(IF(JHers!K11="","",JHers!K11),"")</f>
        <v>NO_DATO</v>
      </c>
    </row>
    <row r="158" spans="1:11" x14ac:dyDescent="0.3">
      <c r="A158" t="str">
        <f>IFERROR(IF(JHers!A12="","",JHers!A12),"")</f>
        <v>Ali Dibadj</v>
      </c>
      <c r="B158" t="str">
        <f>IFERROR(IF(JHers!B12="","",JHers!B12),"")</f>
        <v>Chief Executive Officer</v>
      </c>
      <c r="C158" t="str">
        <f>IFERROR(IF(JHers!C12="","",JHers!C12),"")</f>
        <v>Otro</v>
      </c>
      <c r="D158" t="str">
        <f>IFERROR(IF(JHers!D12="","",JHers!D12),"")</f>
        <v>Perfil ejecutivo</v>
      </c>
      <c r="E158" t="str">
        <f>IFERROR(IF(JHers!E12="","",JHers!E12),"")</f>
        <v>Dirección corporativa / estrategia</v>
      </c>
      <c r="F158" t="str">
        <f>IFERROR(IF(JHers!F12="","",JHers!F12),"")</f>
        <v>Global</v>
      </c>
      <c r="G158" t="str">
        <f>IFERROR(IF(JHers!G12="","",JHers!G12),"")</f>
        <v>Gestión de activos / estrategia corporativa / ESG corporativo</v>
      </c>
      <c r="H158" t="str">
        <f>IFERROR(IF(JHers!H12="","",JHers!H12),"")</f>
        <v>NO_DATO</v>
      </c>
      <c r="I158" t="str">
        <f>IFERROR(IF(JHers!I12="","",JHers!I12),"")</f>
        <v>NO_DATO</v>
      </c>
      <c r="J158" t="str">
        <f>IFERROR(IF(JHers!J12="","",JHers!J12),"")</f>
        <v>https://www.janushenderson.com/en-fi/advisor/bio/ali-dibadj/</v>
      </c>
      <c r="K158" t="str">
        <f>IFERROR(IF(JHers!K12="","",JHers!K12),"")</f>
        <v>NO_DATO</v>
      </c>
    </row>
    <row r="159" spans="1:11" x14ac:dyDescent="0.3">
      <c r="A159" t="str">
        <f>IFERROR(IF(JHers!A13="","",JHers!A13),"")</f>
        <v>Aaron Schaechterle</v>
      </c>
      <c r="B159" t="str">
        <f>IFERROR(IF(JHers!B13="","",JHers!B13),"")</f>
        <v>Portfolio Manager | Research Analyst</v>
      </c>
      <c r="C159" t="str">
        <f>IFERROR(IF(JHers!C13="","",JHers!C13),"")</f>
        <v>Portfolio Manager + Analista</v>
      </c>
      <c r="D159" t="str">
        <f>IFERROR(IF(JHers!D13="","",JHers!D13),"")</f>
        <v>Renta variable</v>
      </c>
      <c r="E159" t="str">
        <f>IFERROR(IF(JHers!E13="","",JHers!E13),"")</f>
        <v>US small/mid-cap growth</v>
      </c>
      <c r="F159" t="str">
        <f>IFERROR(IF(JHers!F13="","",JHers!F13),"")</f>
        <v>Estados Unidos</v>
      </c>
      <c r="G159" t="str">
        <f>IFERROR(IF(JHers!G13="","",JHers!G13),"")</f>
        <v>Small &amp; mid cap growth / tecnología / industriales</v>
      </c>
      <c r="H159" t="str">
        <f>IFERROR(IF(JHers!H13="","",JHers!H13),"")</f>
        <v>US Venture Fund</v>
      </c>
      <c r="I159" t="str">
        <f>IFERROR(IF(JHers!I13="","",JHers!I13),"")</f>
        <v>NO_DATO</v>
      </c>
      <c r="J159" t="str">
        <f>IFERROR(IF(JHers!J13="","",JHers!J13),"")</f>
        <v>https://www.janushenderson.com/corporate/bio/aaron-schaechterle/</v>
      </c>
      <c r="K159" t="str">
        <f>IFERROR(IF(JHers!K13="","",JHers!K13),"")</f>
        <v>NO_DATO</v>
      </c>
    </row>
    <row r="160" spans="1:11" x14ac:dyDescent="0.3">
      <c r="A160" t="str">
        <f>IFERROR(IF(JHers!A14="","",JHers!A14),"")</f>
        <v>Aaron Schaechterle</v>
      </c>
      <c r="B160" t="str">
        <f>IFERROR(IF(JHers!B14="","",JHers!B14),"")</f>
        <v>Portfolio Manager | Research Analyst</v>
      </c>
      <c r="C160" t="str">
        <f>IFERROR(IF(JHers!C14="","",JHers!C14),"")</f>
        <v>Portfolio Manager + Analista</v>
      </c>
      <c r="D160" t="str">
        <f>IFERROR(IF(JHers!D14="","",JHers!D14),"")</f>
        <v>Renta variable</v>
      </c>
      <c r="E160" t="str">
        <f>IFERROR(IF(JHers!E14="","",JHers!E14),"")</f>
        <v>US SMID Cap Growth</v>
      </c>
      <c r="F160" t="str">
        <f>IFERROR(IF(JHers!F14="","",JHers!F14),"")</f>
        <v>Estados Unidos</v>
      </c>
      <c r="G160" t="str">
        <f>IFERROR(IF(JHers!G14="","",JHers!G14),"")</f>
        <v>Small &amp; mid cap growth / modelos de negocio diferenciados</v>
      </c>
      <c r="H160" t="str">
        <f>IFERROR(IF(JHers!H14="","",JHers!H14),"")</f>
        <v>US SMID Cap Growth Managed Account</v>
      </c>
      <c r="I160" t="str">
        <f>IFERROR(IF(JHers!I14="","",JHers!I14),"")</f>
        <v>NO_DATO</v>
      </c>
      <c r="J160" t="str">
        <f>IFERROR(IF(JHers!J14="","",JHers!J14),"")</f>
        <v>https://www.janushenderson.com/corporate/bio/aaron-schaechterle/</v>
      </c>
      <c r="K160" t="str">
        <f>IFERROR(IF(JHers!K14="","",JHers!K14),"")</f>
        <v>https://www.janushenderson.com/en-us/advisor/product/us-smid-cap-growth-managed-account/</v>
      </c>
    </row>
    <row r="161" spans="1:11" x14ac:dyDescent="0.3">
      <c r="A161" t="str">
        <f>IFERROR(IF(JHers!A15="","",JHers!A15),"")</f>
        <v>Aaron Scully, CFA</v>
      </c>
      <c r="B161" t="str">
        <f>IFERROR(IF(JHers!B15="","",JHers!B15),"")</f>
        <v>Portfolio Manager</v>
      </c>
      <c r="C161" t="str">
        <f>IFERROR(IF(JHers!C15="","",JHers!C15),"")</f>
        <v>Portfolio Manager</v>
      </c>
      <c r="D161" t="str">
        <f>IFERROR(IF(JHers!D15="","",JHers!D15),"")</f>
        <v>Renta variable</v>
      </c>
      <c r="E161" t="str">
        <f>IFERROR(IF(JHers!E15="","",JHers!E15),"")</f>
        <v>Global sustainable equity</v>
      </c>
      <c r="F161" t="str">
        <f>IFERROR(IF(JHers!F15="","",JHers!F15),"")</f>
        <v>Global</v>
      </c>
      <c r="G161" t="str">
        <f>IFERROR(IF(JHers!G15="","",JHers!G15),"")</f>
        <v>ESG / sostenibilidad</v>
      </c>
      <c r="H161" t="str">
        <f>IFERROR(IF(JHers!H15="","",JHers!H15),"")</f>
        <v>Horizon Global Sustainable Equity Fund</v>
      </c>
      <c r="I161" t="str">
        <f>IFERROR(IF(JHers!I15="","",JHers!I15),"")</f>
        <v>NO_DATO</v>
      </c>
      <c r="J161" t="str">
        <f>IFERROR(IF(JHers!J15="","",JHers!J15),"")</f>
        <v>https://www.janushenderson.com/en-us/advisor/bio/aaron-scully-cfa/</v>
      </c>
      <c r="K161" t="str">
        <f>IFERROR(IF(JHers!K15="","",JHers!K15),"")</f>
        <v>NO_DATO</v>
      </c>
    </row>
    <row r="162" spans="1:11" x14ac:dyDescent="0.3">
      <c r="A162" t="str">
        <f>IFERROR(IF(JHers!A16="","",JHers!A16),"")</f>
        <v>Aaron Scully, CFA</v>
      </c>
      <c r="B162" t="str">
        <f>IFERROR(IF(JHers!B16="","",JHers!B16),"")</f>
        <v>Portfolio Manager</v>
      </c>
      <c r="C162" t="str">
        <f>IFERROR(IF(JHers!C16="","",JHers!C16),"")</f>
        <v>Portfolio Manager</v>
      </c>
      <c r="D162" t="str">
        <f>IFERROR(IF(JHers!D16="","",JHers!D16),"")</f>
        <v>Renta variable</v>
      </c>
      <c r="E162" t="str">
        <f>IFERROR(IF(JHers!E16="","",JHers!E16),"")</f>
        <v>Global sustainable equity</v>
      </c>
      <c r="F162" t="str">
        <f>IFERROR(IF(JHers!F16="","",JHers!F16),"")</f>
        <v>Global</v>
      </c>
      <c r="G162" t="str">
        <f>IFERROR(IF(JHers!G16="","",JHers!G16),"")</f>
        <v>ESG / sostenibilidad</v>
      </c>
      <c r="H162" t="str">
        <f>IFERROR(IF(JHers!H16="","",JHers!H16),"")</f>
        <v>Global Sustainable Equity strategies</v>
      </c>
      <c r="I162" t="str">
        <f>IFERROR(IF(JHers!I16="","",JHers!I16),"")</f>
        <v>NO_DATO</v>
      </c>
      <c r="J162" t="str">
        <f>IFERROR(IF(JHers!J16="","",JHers!J16),"")</f>
        <v>https://www.janushenderson.com/en-us/advisor/bio/aaron-scully-cfa/</v>
      </c>
      <c r="K162" t="str">
        <f>IFERROR(IF(JHers!K16="","",JHers!K16),"")</f>
        <v>NO_DATO</v>
      </c>
    </row>
    <row r="163" spans="1:11" x14ac:dyDescent="0.3">
      <c r="A163" t="str">
        <f>IFERROR(IF(JHers!A17="","",JHers!A17),"")</f>
        <v>Addison Maier</v>
      </c>
      <c r="B163" t="str">
        <f>IFERROR(IF(JHers!B17="","",JHers!B17),"")</f>
        <v>Portfolio Manager</v>
      </c>
      <c r="C163" t="str">
        <f>IFERROR(IF(JHers!C17="","",JHers!C17),"")</f>
        <v>Portfolio Manager</v>
      </c>
      <c r="D163" t="str">
        <f>IFERROR(IF(JHers!D17="","",JHers!D17),"")</f>
        <v>Renta fija</v>
      </c>
      <c r="E163" t="str">
        <f>IFERROR(IF(JHers!E17="","",JHers!E17),"")</f>
        <v>Global short duration income</v>
      </c>
      <c r="F163" t="str">
        <f>IFERROR(IF(JHers!F17="","",JHers!F17),"")</f>
        <v>Global</v>
      </c>
      <c r="G163" t="str">
        <f>IFERROR(IF(JHers!G17="","",JHers!G17),"")</f>
        <v>Renta fija corto plazo / liquidez</v>
      </c>
      <c r="H163" t="str">
        <f>IFERROR(IF(JHers!H17="","",JHers!H17),"")</f>
        <v>Global Short Duration Income Fund</v>
      </c>
      <c r="I163" t="str">
        <f>IFERROR(IF(JHers!I17="","",JHers!I17),"")</f>
        <v>IE00BZ771832</v>
      </c>
      <c r="J163" t="str">
        <f>IFERROR(IF(JHers!J17="","",JHers!J17),"")</f>
        <v>https://www.janushenderson.com/en-sg/investor/bio/addison-maier/</v>
      </c>
      <c r="K163" t="str">
        <f>IFERROR(IF(JHers!K17="","",JHers!K17),"")</f>
        <v>NO_DATO</v>
      </c>
    </row>
    <row r="164" spans="1:11" x14ac:dyDescent="0.3">
      <c r="A164" t="str">
        <f>IFERROR(IF(JHers!A18="","",JHers!A18),"")</f>
        <v>Addison Maier</v>
      </c>
      <c r="B164" t="str">
        <f>IFERROR(IF(JHers!B18="","",JHers!B18),"")</f>
        <v>Portfolio Manager</v>
      </c>
      <c r="C164" t="str">
        <f>IFERROR(IF(JHers!C18="","",JHers!C18),"")</f>
        <v>Portfolio Manager</v>
      </c>
      <c r="D164" t="str">
        <f>IFERROR(IF(JHers!D18="","",JHers!D18),"")</f>
        <v>Renta fija</v>
      </c>
      <c r="E164" t="str">
        <f>IFERROR(IF(JHers!E18="","",JHers!E18),"")</f>
        <v>Absolute return income</v>
      </c>
      <c r="F164" t="str">
        <f>IFERROR(IF(JHers!F18="","",JHers!F18),"")</f>
        <v>Global</v>
      </c>
      <c r="G164" t="str">
        <f>IFERROR(IF(JHers!G18="","",JHers!G18),"")</f>
        <v>Renta fija retorno absoluto</v>
      </c>
      <c r="H164" t="str">
        <f>IFERROR(IF(JHers!H18="","",JHers!H18),"")</f>
        <v>Absolute Return Income Opportunities Fund</v>
      </c>
      <c r="I164" t="str">
        <f>IFERROR(IF(JHers!I18="","",JHers!I18),"")</f>
        <v>NO_DATO</v>
      </c>
      <c r="J164" t="str">
        <f>IFERROR(IF(JHers!J18="","",JHers!J18),"")</f>
        <v>https://www.janushenderson.com/en-sg/investor/bio/addison-maier/</v>
      </c>
      <c r="K164" t="str">
        <f>IFERROR(IF(JHers!K18="","",JHers!K18),"")</f>
        <v>NO_DATO</v>
      </c>
    </row>
    <row r="165" spans="1:11" x14ac:dyDescent="0.3">
      <c r="A165" t="str">
        <f>IFERROR(IF(JHers!A19="","",JHers!A19),"")</f>
        <v>Agustin Mohedas, PhD</v>
      </c>
      <c r="B165" t="str">
        <f>IFERROR(IF(JHers!B19="","",JHers!B19),"")</f>
        <v>Portfolio Manager | Research Analyst</v>
      </c>
      <c r="C165" t="str">
        <f>IFERROR(IF(JHers!C19="","",JHers!C19),"")</f>
        <v>Portfolio Manager + Analista</v>
      </c>
      <c r="D165" t="str">
        <f>IFERROR(IF(JHers!D19="","",JHers!D19),"")</f>
        <v>Renta variable</v>
      </c>
      <c r="E165" t="str">
        <f>IFERROR(IF(JHers!E19="","",JHers!E19),"")</f>
        <v>Global healthcare / biotechnology equities</v>
      </c>
      <c r="F165" t="str">
        <f>IFERROR(IF(JHers!F19="","",JHers!F19),"")</f>
        <v>Global</v>
      </c>
      <c r="G165" t="str">
        <f>IFERROR(IF(JHers!G19="","",JHers!G19),"")</f>
        <v>Biotecnología / salud</v>
      </c>
      <c r="H165" t="str">
        <f>IFERROR(IF(JHers!H19="","",JHers!H19),"")</f>
        <v>Horizon Biotechnology Fund</v>
      </c>
      <c r="I165" t="str">
        <f>IFERROR(IF(JHers!I19="","",JHers!I19),"")</f>
        <v>NO_DATO</v>
      </c>
      <c r="J165" t="str">
        <f>IFERROR(IF(JHers!J19="","",JHers!J19),"")</f>
        <v>https://www.janushenderson.com/en-us/advisor/bio/agustin-mohedas-ph-d/</v>
      </c>
      <c r="K165" t="str">
        <f>IFERROR(IF(JHers!K19="","",JHers!K19),"")</f>
        <v>https://www.janushenderson.com/en-se/investor/product/janus-henderson-horizon-biotechnology-fund/</v>
      </c>
    </row>
    <row r="166" spans="1:11" x14ac:dyDescent="0.3">
      <c r="A166" t="str">
        <f>IFERROR(IF(JHers!A20="","",JHers!A20),"")</f>
        <v>Alex Crooke, ASIP</v>
      </c>
      <c r="B166" t="str">
        <f>IFERROR(IF(JHers!B20="","",JHers!B20),"")</f>
        <v>Portfolio Manager</v>
      </c>
      <c r="C166" t="str">
        <f>IFERROR(IF(JHers!C20="","",JHers!C20),"")</f>
        <v>Portfolio Manager</v>
      </c>
      <c r="D166" t="str">
        <f>IFERROR(IF(JHers!D20="","",JHers!D20),"")</f>
        <v>Renta variable</v>
      </c>
      <c r="E166" t="str">
        <f>IFERROR(IF(JHers!E20="","",JHers!E20),"")</f>
        <v>Global equity income</v>
      </c>
      <c r="F166" t="str">
        <f>IFERROR(IF(JHers!F20="","",JHers!F20),"")</f>
        <v>Global</v>
      </c>
      <c r="G166" t="str">
        <f>IFERROR(IF(JHers!G20="","",JHers!G20),"")</f>
        <v>Renta variable global de dividendo / income</v>
      </c>
      <c r="H166" t="str">
        <f>IFERROR(IF(JHers!H20="","",JHers!H20),"")</f>
        <v>Global Equity Income strategies</v>
      </c>
      <c r="I166" t="str">
        <f>IFERROR(IF(JHers!I20="","",JHers!I20),"")</f>
        <v>NO_DATO</v>
      </c>
      <c r="J166" t="str">
        <f>IFERROR(IF(JHers!J20="","",JHers!J20),"")</f>
        <v>https://www.janushenderson.com/en-gb/adviser/bio/alex-crooke/</v>
      </c>
      <c r="K166" t="str">
        <f>IFERROR(IF(JHers!K20="","",JHers!K20),"")</f>
        <v>NO_DATO</v>
      </c>
    </row>
    <row r="167" spans="1:11" x14ac:dyDescent="0.3">
      <c r="A167" t="str">
        <f>IFERROR(IF(JHers!A21="","",JHers!A21),"")</f>
        <v>Alex Crooke, ASIP</v>
      </c>
      <c r="B167" t="str">
        <f>IFERROR(IF(JHers!B21="","",JHers!B21),"")</f>
        <v>Portfolio Manager</v>
      </c>
      <c r="C167" t="str">
        <f>IFERROR(IF(JHers!C21="","",JHers!C21),"")</f>
        <v>Portfolio Manager</v>
      </c>
      <c r="D167" t="str">
        <f>IFERROR(IF(JHers!D21="","",JHers!D21),"")</f>
        <v>Renta variable</v>
      </c>
      <c r="E167" t="str">
        <f>IFERROR(IF(JHers!E21="","",JHers!E21),"")</f>
        <v>Global dividend &amp; income</v>
      </c>
      <c r="F167" t="str">
        <f>IFERROR(IF(JHers!F21="","",JHers!F21),"")</f>
        <v>Global</v>
      </c>
      <c r="G167" t="str">
        <f>IFERROR(IF(JHers!G21="","",JHers!G21),"")</f>
        <v>Renta variable global de dividendo / income</v>
      </c>
      <c r="H167" t="str">
        <f>IFERROR(IF(JHers!H21="","",JHers!H21),"")</f>
        <v>Global Dividend &amp; Income strategies</v>
      </c>
      <c r="I167" t="str">
        <f>IFERROR(IF(JHers!I21="","",JHers!I21),"")</f>
        <v>NO_DATO</v>
      </c>
      <c r="J167" t="str">
        <f>IFERROR(IF(JHers!J21="","",JHers!J21),"")</f>
        <v>https://www.janushenderson.com/en-gb/adviser/bio/alex-crooke/</v>
      </c>
      <c r="K167" t="str">
        <f>IFERROR(IF(JHers!K21="","",JHers!K21),"")</f>
        <v>NO_DATO</v>
      </c>
    </row>
    <row r="168" spans="1:11" x14ac:dyDescent="0.3">
      <c r="A168" t="str">
        <f>IFERROR(IF(JHers!A22="","",JHers!A22),"")</f>
        <v>Alex Veroude, CFA</v>
      </c>
      <c r="B168" t="str">
        <f>IFERROR(IF(JHers!B22="","",JHers!B22),"")</f>
        <v>Head of Fixed Income</v>
      </c>
      <c r="C168" t="str">
        <f>IFERROR(IF(JHers!C22="","",JHers!C22),"")</f>
        <v>Otro</v>
      </c>
      <c r="D168" t="str">
        <f>IFERROR(IF(JHers!D22="","",JHers!D22),"")</f>
        <v>Renta fija</v>
      </c>
      <c r="E168" t="str">
        <f>IFERROR(IF(JHers!E22="","",JHers!E22),"")</f>
        <v>Global fixed income leadership</v>
      </c>
      <c r="F168" t="str">
        <f>IFERROR(IF(JHers!F22="","",JHers!F22),"")</f>
        <v>Global</v>
      </c>
      <c r="G168" t="str">
        <f>IFERROR(IF(JHers!G22="","",JHers!G22),"")</f>
        <v>Gestión de renta fija / crédito / core</v>
      </c>
      <c r="H168" t="str">
        <f>IFERROR(IF(JHers!H22="","",JHers!H22),"")</f>
        <v>NO_DATO</v>
      </c>
      <c r="I168" t="str">
        <f>IFERROR(IF(JHers!I22="","",JHers!I22),"")</f>
        <v>NO_DATO</v>
      </c>
      <c r="J168" t="str">
        <f>IFERROR(IF(JHers!J22="","",JHers!J22),"")</f>
        <v>https://www.janushenderson.com/en-gb/adviser/bio/alex-veroude-cfa/</v>
      </c>
      <c r="K168" t="str">
        <f>IFERROR(IF(JHers!K22="","",JHers!K22),"")</f>
        <v>NO_DATO</v>
      </c>
    </row>
    <row r="169" spans="1:11" x14ac:dyDescent="0.3">
      <c r="A169" t="str">
        <f>IFERROR(IF(JHers!A23="","",JHers!A23),"")</f>
        <v>Alexander Keen, CFA</v>
      </c>
      <c r="B169" t="str">
        <f>IFERROR(IF(JHers!B23="","",JHers!B23),"")</f>
        <v>Portfolio Manager</v>
      </c>
      <c r="C169" t="str">
        <f>IFERROR(IF(JHers!C23="","",JHers!C23),"")</f>
        <v>Portfolio Manager</v>
      </c>
      <c r="D169" t="str">
        <f>IFERROR(IF(JHers!D23="","",JHers!D23),"")</f>
        <v>Alternativos</v>
      </c>
      <c r="E169" t="str">
        <f>IFERROR(IF(JHers!E23="","",JHers!E23),"")</f>
        <v>Diversified alternatives</v>
      </c>
      <c r="F169" t="str">
        <f>IFERROR(IF(JHers!F23="","",JHers!F23),"")</f>
        <v>Global</v>
      </c>
      <c r="G169" t="str">
        <f>IFERROR(IF(JHers!G23="","",JHers!G23),"")</f>
        <v>Alternativos líquidos / multiestrategia</v>
      </c>
      <c r="H169" t="str">
        <f>IFERROR(IF(JHers!H23="","",JHers!H23),"")</f>
        <v>Diversified Alternatives strategies</v>
      </c>
      <c r="I169" t="str">
        <f>IFERROR(IF(JHers!I23="","",JHers!I23),"")</f>
        <v>NO_DATO</v>
      </c>
      <c r="J169" t="str">
        <f>IFERROR(IF(JHers!J23="","",JHers!J23),"")</f>
        <v>https://www.janushenderson.com/en-gb/investor/bio/alexander-keen-cfa/</v>
      </c>
      <c r="K169" t="str">
        <f>IFERROR(IF(JHers!K23="","",JHers!K23),"")</f>
        <v>NO_DATO</v>
      </c>
    </row>
    <row r="170" spans="1:11" x14ac:dyDescent="0.3">
      <c r="A170" t="str">
        <f>IFERROR(IF(JHers!A24="","",JHers!A24),"")</f>
        <v>Alison Porter</v>
      </c>
      <c r="B170" t="str">
        <f>IFERROR(IF(JHers!B24="","",JHers!B24),"")</f>
        <v>Portfolio Manager</v>
      </c>
      <c r="C170" t="str">
        <f>IFERROR(IF(JHers!C24="","",JHers!C24),"")</f>
        <v>Portfolio Manager</v>
      </c>
      <c r="D170" t="str">
        <f>IFERROR(IF(JHers!D24="","",JHers!D24),"")</f>
        <v>Renta variable</v>
      </c>
      <c r="E170" t="str">
        <f>IFERROR(IF(JHers!E24="","",JHers!E24),"")</f>
        <v>Global technology equities</v>
      </c>
      <c r="F170" t="str">
        <f>IFERROR(IF(JHers!F24="","",JHers!F24),"")</f>
        <v>Global</v>
      </c>
      <c r="G170" t="str">
        <f>IFERROR(IF(JHers!G24="","",JHers!G24),"")</f>
        <v>Tecnología</v>
      </c>
      <c r="H170" t="str">
        <f>IFERROR(IF(JHers!H24="","",JHers!H24),"")</f>
        <v>Global Technology Leaders strategies</v>
      </c>
      <c r="I170" t="str">
        <f>IFERROR(IF(JHers!I24="","",JHers!I24),"")</f>
        <v>NO_DATO</v>
      </c>
      <c r="J170" t="str">
        <f>IFERROR(IF(JHers!J24="","",JHers!J24),"")</f>
        <v>https://www.janushenderson.com/es-es/investor/bio/alison-porter/</v>
      </c>
      <c r="K170" t="str">
        <f>IFERROR(IF(JHers!K24="","",JHers!K24),"")</f>
        <v>NO_DATO</v>
      </c>
    </row>
    <row r="171" spans="1:11" x14ac:dyDescent="0.3">
      <c r="A171" t="str">
        <f>IFERROR(IF(JHers!A25="","",JHers!A25),"")</f>
        <v>Andrew Forman</v>
      </c>
      <c r="B171" t="str">
        <f>IFERROR(IF(JHers!B25="","",JHers!B25),"")</f>
        <v>Associate Portfolio Manager | Money Market Analyst</v>
      </c>
      <c r="C171" t="str">
        <f>IFERROR(IF(JHers!C25="","",JHers!C25),"")</f>
        <v>Portfolio Manager</v>
      </c>
      <c r="D171" t="str">
        <f>IFERROR(IF(JHers!D25="","",JHers!D25),"")</f>
        <v>Renta fija</v>
      </c>
      <c r="E171" t="str">
        <f>IFERROR(IF(JHers!E25="","",JHers!E25),"")</f>
        <v>Money market / short-term liquidity</v>
      </c>
      <c r="F171" t="str">
        <f>IFERROR(IF(JHers!F25="","",JHers!F25),"")</f>
        <v>Global</v>
      </c>
      <c r="G171" t="str">
        <f>IFERROR(IF(JHers!G25="","",JHers!G25),"")</f>
        <v>Mercado monetario / gestión de tesorería</v>
      </c>
      <c r="H171" t="str">
        <f>IFERROR(IF(JHers!H25="","",JHers!H25),"")</f>
        <v>Money market strategies</v>
      </c>
      <c r="I171" t="str">
        <f>IFERROR(IF(JHers!I25="","",JHers!I25),"")</f>
        <v>NO_DATO</v>
      </c>
      <c r="J171" t="str">
        <f>IFERROR(IF(JHers!J25="","",JHers!J25),"")</f>
        <v>NO_DATO</v>
      </c>
      <c r="K171" t="str">
        <f>IFERROR(IF(JHers!K25="","",JHers!K25),"")</f>
        <v>NO_DATO</v>
      </c>
    </row>
    <row r="172" spans="1:11" x14ac:dyDescent="0.3">
      <c r="A172" t="str">
        <f>IFERROR(IF(JHers!A26="","",JHers!A26),"")</f>
        <v>Andrew Jones</v>
      </c>
      <c r="B172" t="str">
        <f>IFERROR(IF(JHers!B26="","",JHers!B26),"")</f>
        <v>Portfolio Manager</v>
      </c>
      <c r="C172" t="str">
        <f>IFERROR(IF(JHers!C26="","",JHers!C26),"")</f>
        <v>Portfolio Manager</v>
      </c>
      <c r="D172" t="str">
        <f>IFERROR(IF(JHers!D26="","",JHers!D26),"")</f>
        <v>Renta variable</v>
      </c>
      <c r="E172" t="str">
        <f>IFERROR(IF(JHers!E26="","",JHers!E26),"")</f>
        <v>Global equity income</v>
      </c>
      <c r="F172" t="str">
        <f>IFERROR(IF(JHers!F26="","",JHers!F26),"")</f>
        <v>Global</v>
      </c>
      <c r="G172" t="str">
        <f>IFERROR(IF(JHers!G26="","",JHers!G26),"")</f>
        <v>Renta variable global de dividendo / income</v>
      </c>
      <c r="H172" t="str">
        <f>IFERROR(IF(JHers!H26="","",JHers!H26),"")</f>
        <v>Janus Henderson Cautious Managed Fund</v>
      </c>
      <c r="I172" t="str">
        <f>IFERROR(IF(JHers!I26="","",JHers!I26),"")</f>
        <v>GB00B6ZHN203</v>
      </c>
      <c r="J172" t="str">
        <f>IFERROR(IF(JHers!J26="","",JHers!J26),"")</f>
        <v>https://www.janushenderson.com/en-gb/investor/bio/andrew-jones/</v>
      </c>
      <c r="K172" t="str">
        <f>IFERROR(IF(JHers!K26="","",JHers!K26),"")</f>
        <v>NO_DATO</v>
      </c>
    </row>
    <row r="173" spans="1:11" x14ac:dyDescent="0.3">
      <c r="A173" t="str">
        <f>IFERROR(IF(JHers!A27="","",JHers!A27),"")</f>
        <v>Andy Acker, CFA</v>
      </c>
      <c r="B173" t="str">
        <f>IFERROR(IF(JHers!B27="","",JHers!B27),"")</f>
        <v>Portfolio Manager</v>
      </c>
      <c r="C173" t="str">
        <f>IFERROR(IF(JHers!C27="","",JHers!C27),"")</f>
        <v>Portfolio Manager</v>
      </c>
      <c r="D173" t="str">
        <f>IFERROR(IF(JHers!D27="","",JHers!D27),"")</f>
        <v>Renta variable</v>
      </c>
      <c r="E173" t="str">
        <f>IFERROR(IF(JHers!E27="","",JHers!E27),"")</f>
        <v>Global life sciences equities</v>
      </c>
      <c r="F173" t="str">
        <f>IFERROR(IF(JHers!F27="","",JHers!F27),"")</f>
        <v>Global</v>
      </c>
      <c r="G173" t="str">
        <f>IFERROR(IF(JHers!G27="","",JHers!G27),"")</f>
        <v>Salud / ciencias de la vida</v>
      </c>
      <c r="H173" t="str">
        <f>IFERROR(IF(JHers!H27="","",JHers!H27),"")</f>
        <v>Global Life Sciences Fund</v>
      </c>
      <c r="I173" t="str">
        <f>IFERROR(IF(JHers!I27="","",JHers!I27),"")</f>
        <v>NO_DATO</v>
      </c>
      <c r="J173" t="str">
        <f>IFERROR(IF(JHers!J27="","",JHers!J27),"")</f>
        <v>https://www.janushenderson.com/en-us/advisor/bio/andy-acker/</v>
      </c>
      <c r="K173" t="str">
        <f>IFERROR(IF(JHers!K27="","",JHers!K27),"")</f>
        <v>https://www.janushenderson.com/en-us/advisor/product/global-life-sciences-fund/</v>
      </c>
    </row>
    <row r="174" spans="1:11" x14ac:dyDescent="0.3">
      <c r="A174" t="str">
        <f>IFERROR(IF(JHers!A28="","",JHers!A28),"")</f>
        <v>Andy Acker, CFA</v>
      </c>
      <c r="B174" t="str">
        <f>IFERROR(IF(JHers!B28="","",JHers!B28),"")</f>
        <v>Portfolio Manager</v>
      </c>
      <c r="C174" t="str">
        <f>IFERROR(IF(JHers!C28="","",JHers!C28),"")</f>
        <v>Portfolio Manager</v>
      </c>
      <c r="D174" t="str">
        <f>IFERROR(IF(JHers!D28="","",JHers!D28),"")</f>
        <v>Renta variable</v>
      </c>
      <c r="E174" t="str">
        <f>IFERROR(IF(JHers!E28="","",JHers!E28),"")</f>
        <v>Biotechnology equities</v>
      </c>
      <c r="F174" t="str">
        <f>IFERROR(IF(JHers!F28="","",JHers!F28),"")</f>
        <v>Global</v>
      </c>
      <c r="G174" t="str">
        <f>IFERROR(IF(JHers!G28="","",JHers!G28),"")</f>
        <v>Biotecnología</v>
      </c>
      <c r="H174" t="str">
        <f>IFERROR(IF(JHers!H28="","",JHers!H28),"")</f>
        <v>Horizon Biotechnology Fund</v>
      </c>
      <c r="I174" t="str">
        <f>IFERROR(IF(JHers!I28="","",JHers!I28),"")</f>
        <v>NO_DATO</v>
      </c>
      <c r="J174" t="str">
        <f>IFERROR(IF(JHers!J28="","",JHers!J28),"")</f>
        <v>https://www.janushenderson.com/en-us/advisor/bio/andy-acker/</v>
      </c>
      <c r="K174" t="str">
        <f>IFERROR(IF(JHers!K28="","",JHers!K28),"")</f>
        <v>https://www.janushenderson.com/en-se/investor/product/janus-henderson-horizon-biotechnology-fund/</v>
      </c>
    </row>
    <row r="175" spans="1:11" x14ac:dyDescent="0.3">
      <c r="A175" t="str">
        <f>IFERROR(IF(JHers!A29="","",JHers!A29),"")</f>
        <v>Arjun Bhandari, CFA</v>
      </c>
      <c r="B175" t="str">
        <f>IFERROR(IF(JHers!B29="","",JHers!B29),"")</f>
        <v>Portfolio Manager</v>
      </c>
      <c r="C175" t="str">
        <f>IFERROR(IF(JHers!C29="","",JHers!C29),"")</f>
        <v>Portfolio Manager</v>
      </c>
      <c r="D175" t="str">
        <f>IFERROR(IF(JHers!D29="","",JHers!D29),"")</f>
        <v>Renta fija</v>
      </c>
      <c r="E175" t="str">
        <f>IFERROR(IF(JHers!E29="","",JHers!E29),"")</f>
        <v>Global bonds</v>
      </c>
      <c r="F175" t="str">
        <f>IFERROR(IF(JHers!F29="","",JHers!F29),"")</f>
        <v>Global</v>
      </c>
      <c r="G175" t="str">
        <f>IFERROR(IF(JHers!G29="","",JHers!G29),"")</f>
        <v>Bonos globales / renta fija agregada</v>
      </c>
      <c r="H175" t="str">
        <f>IFERROR(IF(JHers!H29="","",JHers!H29),"")</f>
        <v>Global Bonds strategies</v>
      </c>
      <c r="I175" t="str">
        <f>IFERROR(IF(JHers!I29="","",JHers!I29),"")</f>
        <v>NO_DATO</v>
      </c>
      <c r="J175" t="str">
        <f>IFERROR(IF(JHers!J29="","",JHers!J29),"")</f>
        <v>https://www.janushenderson.com/en-us/advisor/bio/arjun-bhandari-cfa/</v>
      </c>
      <c r="K175" t="str">
        <f>IFERROR(IF(JHers!K29="","",JHers!K29),"")</f>
        <v>NO_DATO</v>
      </c>
    </row>
    <row r="176" spans="1:11" x14ac:dyDescent="0.3">
      <c r="A176" t="str">
        <f>IFERROR(IF(JHers!A30="","",JHers!A30),"")</f>
        <v>Ben Jones</v>
      </c>
      <c r="B176" t="str">
        <f>IFERROR(IF(JHers!B30="","",JHers!B30),"")</f>
        <v>Portfolio Manager</v>
      </c>
      <c r="C176" t="str">
        <f>IFERROR(IF(JHers!C30="","",JHers!C30),"")</f>
        <v>Portfolio Manager</v>
      </c>
      <c r="D176" t="str">
        <f>IFERROR(IF(JHers!D30="","",JHers!D30),"")</f>
        <v>Alternativos</v>
      </c>
      <c r="E176" t="str">
        <f>IFERROR(IF(JHers!E30="","",JHers!E30),"")</f>
        <v>Diversified alternatives</v>
      </c>
      <c r="F176" t="str">
        <f>IFERROR(IF(JHers!F30="","",JHers!F30),"")</f>
        <v>Global</v>
      </c>
      <c r="G176" t="str">
        <f>IFERROR(IF(JHers!G30="","",JHers!G30),"")</f>
        <v>Alternativos líquidos / multiestrategia</v>
      </c>
      <c r="H176" t="str">
        <f>IFERROR(IF(JHers!H30="","",JHers!H30),"")</f>
        <v>Diversified Alternatives strategies</v>
      </c>
      <c r="I176" t="str">
        <f>IFERROR(IF(JHers!I30="","",JHers!I30),"")</f>
        <v>NO_DATO</v>
      </c>
      <c r="J176" t="str">
        <f>IFERROR(IF(JHers!J30="","",JHers!J30),"")</f>
        <v>https://www.janushenderson.com/en-gb/investor/bio/ben-jones/</v>
      </c>
      <c r="K176" t="str">
        <f>IFERROR(IF(JHers!K30="","",JHers!K30),"")</f>
        <v>NO_DATO</v>
      </c>
    </row>
    <row r="177" spans="1:11" x14ac:dyDescent="0.3">
      <c r="A177" t="str">
        <f>IFERROR(IF(JHers!A31="","",JHers!A31),"")</f>
        <v>Ben Lofthouse, CFA</v>
      </c>
      <c r="B177" t="str">
        <f>IFERROR(IF(JHers!B31="","",JHers!B31),"")</f>
        <v>Head of Global Equity Income | Portfolio Manager</v>
      </c>
      <c r="C177" t="str">
        <f>IFERROR(IF(JHers!C31="","",JHers!C31),"")</f>
        <v>Portfolio Manager</v>
      </c>
      <c r="D177" t="str">
        <f>IFERROR(IF(JHers!D31="","",JHers!D31),"")</f>
        <v>Renta variable</v>
      </c>
      <c r="E177" t="str">
        <f>IFERROR(IF(JHers!E31="","",JHers!E31),"")</f>
        <v>Global equity income</v>
      </c>
      <c r="F177" t="str">
        <f>IFERROR(IF(JHers!F31="","",JHers!F31),"")</f>
        <v>Global</v>
      </c>
      <c r="G177" t="str">
        <f>IFERROR(IF(JHers!G31="","",JHers!G31),"")</f>
        <v>Renta variable global de dividendo / income</v>
      </c>
      <c r="H177" t="str">
        <f>IFERROR(IF(JHers!H31="","",JHers!H31),"")</f>
        <v>Global Equity Income Fund</v>
      </c>
      <c r="I177" t="str">
        <f>IFERROR(IF(JHers!I31="","",JHers!I31),"")</f>
        <v>NO_DATO</v>
      </c>
      <c r="J177" t="str">
        <f>IFERROR(IF(JHers!J31="","",JHers!J31),"")</f>
        <v>https://www.janushenderson.com/en-gb/investor/bio/ben-lofthouse/</v>
      </c>
      <c r="K177" t="str">
        <f>IFERROR(IF(JHers!K31="","",JHers!K31),"")</f>
        <v>NO_DATO</v>
      </c>
    </row>
    <row r="178" spans="1:11" x14ac:dyDescent="0.3">
      <c r="A178" t="str">
        <f>IFERROR(IF(JHers!A32="","",JHers!A32),"")</f>
        <v>Ben Wallace</v>
      </c>
      <c r="B178" t="str">
        <f>IFERROR(IF(JHers!B32="","",JHers!B32),"")</f>
        <v>Portfolio Manager</v>
      </c>
      <c r="C178" t="str">
        <f>IFERROR(IF(JHers!C32="","",JHers!C32),"")</f>
        <v>Portfolio Manager</v>
      </c>
      <c r="D178" t="str">
        <f>IFERROR(IF(JHers!D32="","",JHers!D32),"")</f>
        <v>Renta variable</v>
      </c>
      <c r="E178" t="str">
        <f>IFERROR(IF(JHers!E32="","",JHers!E32),"")</f>
        <v>Absolute return equities</v>
      </c>
      <c r="F178" t="str">
        <f>IFERROR(IF(JHers!F32="","",JHers!F32),"")</f>
        <v>Reino Unido / Europa</v>
      </c>
      <c r="G178" t="str">
        <f>IFERROR(IF(JHers!G32="","",JHers!G32),"")</f>
        <v>Renta variable long/short / retorno absoluto</v>
      </c>
      <c r="H178" t="str">
        <f>IFERROR(IF(JHers!H32="","",JHers!H32),"")</f>
        <v>Absolute Return Equities strategies</v>
      </c>
      <c r="I178" t="str">
        <f>IFERROR(IF(JHers!I32="","",JHers!I32),"")</f>
        <v>NO_DATO</v>
      </c>
      <c r="J178" t="str">
        <f>IFERROR(IF(JHers!J32="","",JHers!J32),"")</f>
        <v>https://www.janushenderson.com/corporate/bio/ben-wallace/</v>
      </c>
      <c r="K178" t="str">
        <f>IFERROR(IF(JHers!K32="","",JHers!K32),"")</f>
        <v>NO_DATO</v>
      </c>
    </row>
    <row r="179" spans="1:11" x14ac:dyDescent="0.3">
      <c r="A179" t="str">
        <f>IFERROR(IF(JHers!A33="","",JHers!A33),"")</f>
        <v>Benjamin Wang, CFA</v>
      </c>
      <c r="B179" t="str">
        <f>IFERROR(IF(JHers!B33="","",JHers!B33),"")</f>
        <v>Portfolio Manager | Quantitative Solutions</v>
      </c>
      <c r="C179" t="str">
        <f>IFERROR(IF(JHers!C33="","",JHers!C33),"")</f>
        <v>Portfolio Manager</v>
      </c>
      <c r="D179" t="str">
        <f>IFERROR(IF(JHers!D33="","",JHers!D33),"")</f>
        <v>Renta variable</v>
      </c>
      <c r="E179" t="str">
        <f>IFERROR(IF(JHers!E33="","",JHers!E33),"")</f>
        <v>Quantitative equity / index solutions</v>
      </c>
      <c r="F179" t="str">
        <f>IFERROR(IF(JHers!F33="","",JHers!F33),"")</f>
        <v>Global</v>
      </c>
      <c r="G179" t="str">
        <f>IFERROR(IF(JHers!G33="","",JHers!G33),"")</f>
        <v>Renta variable cuantitativa / indexada</v>
      </c>
      <c r="H179" t="str">
        <f>IFERROR(IF(JHers!H33="","",JHers!H33),"")</f>
        <v>Quantitative Solutions strategies</v>
      </c>
      <c r="I179" t="str">
        <f>IFERROR(IF(JHers!I33="","",JHers!I33),"")</f>
        <v>NO_DATO</v>
      </c>
      <c r="J179" t="str">
        <f>IFERROR(IF(JHers!J33="","",JHers!J33),"")</f>
        <v>https://www.janushenderson.com/en-sg/investor/bio/benjamin-wang-cfa/</v>
      </c>
      <c r="K179" t="str">
        <f>IFERROR(IF(JHers!K33="","",JHers!K33),"")</f>
        <v>NO_DATO</v>
      </c>
    </row>
    <row r="180" spans="1:11" x14ac:dyDescent="0.3">
      <c r="A180" t="str">
        <f>IFERROR(IF(JHers!A34="","",JHers!A34),"")</f>
        <v>Bent Lystbaek</v>
      </c>
      <c r="B180" t="str">
        <f>IFERROR(IF(JHers!B34="","",JHers!B34),"")</f>
        <v>Portfolio Manager</v>
      </c>
      <c r="C180" t="str">
        <f>IFERROR(IF(JHers!C34="","",JHers!C34),"")</f>
        <v>Portfolio Manager</v>
      </c>
      <c r="D180" t="str">
        <f>IFERROR(IF(JHers!D34="","",JHers!D34),"")</f>
        <v>Renta fija</v>
      </c>
      <c r="E180" t="str">
        <f>IFERROR(IF(JHers!E34="","",JHers!E34),"")</f>
        <v>Emerging Markets Debt Hard Currency</v>
      </c>
      <c r="F180" t="str">
        <f>IFERROR(IF(JHers!F34="","",JHers!F34),"")</f>
        <v>Mercados emergentes</v>
      </c>
      <c r="G180" t="str">
        <f>IFERROR(IF(JHers!G34="","",JHers!G34),"")</f>
        <v>Deuda emergente en divisa fuerte</v>
      </c>
      <c r="H180" t="str">
        <f>IFERROR(IF(JHers!H34="","",JHers!H34),"")</f>
        <v>Emerging Markets Debt Hard Currency strategies</v>
      </c>
      <c r="I180" t="str">
        <f>IFERROR(IF(JHers!I34="","",JHers!I34),"")</f>
        <v>NO_DATO</v>
      </c>
      <c r="J180" t="str">
        <f>IFERROR(IF(JHers!J34="","",JHers!J34),"")</f>
        <v>https://www.janushenderson.com/en-us/advisor/bio/bent-lystbaek/</v>
      </c>
      <c r="K180" t="str">
        <f>IFERROR(IF(JHers!K34="","",JHers!K34),"")</f>
        <v>NO_DATO</v>
      </c>
    </row>
    <row r="181" spans="1:11" x14ac:dyDescent="0.3">
      <c r="A181" t="str">
        <f>IFERROR(IF(JHers!A35="","",JHers!A35),"")</f>
        <v>Bradford Smith</v>
      </c>
      <c r="B181" t="str">
        <f>IFERROR(IF(JHers!B35="","",JHers!B35),"")</f>
        <v>Portfolio Manager</v>
      </c>
      <c r="C181" t="str">
        <f>IFERROR(IF(JHers!C35="","",JHers!C35),"")</f>
        <v>Portfolio Manager</v>
      </c>
      <c r="D181" t="str">
        <f>IFERROR(IF(JHers!D35="","",JHers!D35),"")</f>
        <v>Renta fija</v>
      </c>
      <c r="E181" t="str">
        <f>IFERROR(IF(JHers!E35="","",JHers!E35),"")</f>
        <v>Core Plus &amp; corporate credit</v>
      </c>
      <c r="F181" t="str">
        <f>IFERROR(IF(JHers!F35="","",JHers!F35),"")</f>
        <v>Global</v>
      </c>
      <c r="G181" t="str">
        <f>IFERROR(IF(JHers!G35="","",JHers!G35),"")</f>
        <v>Crédito corporativo / renta fija Core Plus</v>
      </c>
      <c r="H181" t="str">
        <f>IFERROR(IF(JHers!H35="","",JHers!H35),"")</f>
        <v>Core Plus and Corporate Credit strategies</v>
      </c>
      <c r="I181" t="str">
        <f>IFERROR(IF(JHers!I35="","",JHers!I35),"")</f>
        <v>NO_DATO</v>
      </c>
      <c r="J181" t="str">
        <f>IFERROR(IF(JHers!J35="","",JHers!J35),"")</f>
        <v>https://www.janushenderson.com/en-pt/advisor/bio/bradford-smith/</v>
      </c>
      <c r="K181" t="str">
        <f>IFERROR(IF(JHers!K35="","",JHers!K35),"")</f>
        <v>NO_DATO</v>
      </c>
    </row>
    <row r="182" spans="1:11" x14ac:dyDescent="0.3">
      <c r="A182" t="str">
        <f>IFERROR(IF(JHers!A36="","",JHers!A36),"")</f>
        <v>Brent Olson</v>
      </c>
      <c r="B182" t="str">
        <f>IFERROR(IF(JHers!B36="","",JHers!B36),"")</f>
        <v>Portfolio Manager</v>
      </c>
      <c r="C182" t="str">
        <f>IFERROR(IF(JHers!C36="","",JHers!C36),"")</f>
        <v>Portfolio Manager</v>
      </c>
      <c r="D182" t="str">
        <f>IFERROR(IF(JHers!D36="","",JHers!D36),"")</f>
        <v>Renta fija</v>
      </c>
      <c r="E182" t="str">
        <f>IFERROR(IF(JHers!E36="","",JHers!E36),"")</f>
        <v>Credit-focused strategies</v>
      </c>
      <c r="F182" t="str">
        <f>IFERROR(IF(JHers!F36="","",JHers!F36),"")</f>
        <v>Global</v>
      </c>
      <c r="G182" t="str">
        <f>IFERROR(IF(JHers!G36="","",JHers!G36),"")</f>
        <v>Crédito corporativo / enfoque fundamental</v>
      </c>
      <c r="H182" t="str">
        <f>IFERROR(IF(JHers!H36="","",JHers!H36),"")</f>
        <v>Credit strategies</v>
      </c>
      <c r="I182" t="str">
        <f>IFERROR(IF(JHers!I36="","",JHers!I36),"")</f>
        <v>NO_DATO</v>
      </c>
      <c r="J182" t="str">
        <f>IFERROR(IF(JHers!J36="","",JHers!J36),"")</f>
        <v>https://www.janushenderson.com/en-gb/adviser/bio/brent-olson/</v>
      </c>
      <c r="K182" t="str">
        <f>IFERROR(IF(JHers!K36="","",JHers!K36),"")</f>
        <v>NO_DATO</v>
      </c>
    </row>
    <row r="183" spans="1:11" x14ac:dyDescent="0.3">
      <c r="A183" t="str">
        <f>IFERROR(IF(JHers!A37="","",JHers!A37),"")</f>
        <v>Brian Demain, CFA</v>
      </c>
      <c r="B183" t="str">
        <f>IFERROR(IF(JHers!B37="","",JHers!B37),"")</f>
        <v>Portfolio Manager</v>
      </c>
      <c r="C183" t="str">
        <f>IFERROR(IF(JHers!C37="","",JHers!C37),"")</f>
        <v>Portfolio Manager</v>
      </c>
      <c r="D183" t="str">
        <f>IFERROR(IF(JHers!D37="","",JHers!D37),"")</f>
        <v>Renta variable</v>
      </c>
      <c r="E183" t="str">
        <f>IFERROR(IF(JHers!E37="","",JHers!E37),"")</f>
        <v>US mid-cap growth</v>
      </c>
      <c r="F183" t="str">
        <f>IFERROR(IF(JHers!F37="","",JHers!F37),"")</f>
        <v>Estados Unidos</v>
      </c>
      <c r="G183" t="str">
        <f>IFERROR(IF(JHers!G37="","",JHers!G37),"")</f>
        <v>Renta variable estadounidense mid cap growth</v>
      </c>
      <c r="H183" t="str">
        <f>IFERROR(IF(JHers!H37="","",JHers!H37),"")</f>
        <v>US Mid Cap Growth strategies</v>
      </c>
      <c r="I183" t="str">
        <f>IFERROR(IF(JHers!I37="","",JHers!I37),"")</f>
        <v>NO_DATO</v>
      </c>
      <c r="J183" t="str">
        <f>IFERROR(IF(JHers!J37="","",JHers!J37),"")</f>
        <v>https://www.janushenderson.com/en-ie/investor/bio/brian-demain-cfa/</v>
      </c>
      <c r="K183" t="str">
        <f>IFERROR(IF(JHers!K37="","",JHers!K37),"")</f>
        <v>NO_DATO</v>
      </c>
    </row>
    <row r="184" spans="1:11" x14ac:dyDescent="0.3">
      <c r="A184" t="str">
        <f>IFERROR(IF(JHers!A38="","",JHers!A38),"")</f>
        <v>Brian Recht</v>
      </c>
      <c r="B184" t="str">
        <f>IFERROR(IF(JHers!B38="","",JHers!B38),"")</f>
        <v>Portfolio Manager | Research Analyst</v>
      </c>
      <c r="C184" t="str">
        <f>IFERROR(IF(JHers!C38="","",JHers!C38),"")</f>
        <v>Portfolio Manager + Analista</v>
      </c>
      <c r="D184" t="str">
        <f>IFERROR(IF(JHers!D38="","",JHers!D38),"")</f>
        <v>Renta variable</v>
      </c>
      <c r="E184" t="str">
        <f>IFERROR(IF(JHers!E38="","",JHers!E38),"")</f>
        <v>US growth equities</v>
      </c>
      <c r="F184" t="str">
        <f>IFERROR(IF(JHers!F38="","",JHers!F38),"")</f>
        <v>Estados Unidos</v>
      </c>
      <c r="G184" t="str">
        <f>IFERROR(IF(JHers!G38="","",JHers!G38),"")</f>
        <v>Consumo y comunicaciones / growth</v>
      </c>
      <c r="H184" t="str">
        <f>IFERROR(IF(JHers!H38="","",JHers!H38),"")</f>
        <v>US growth equity strategies</v>
      </c>
      <c r="I184" t="str">
        <f>IFERROR(IF(JHers!I38="","",JHers!I38),"")</f>
        <v>NO_DATO</v>
      </c>
      <c r="J184" t="str">
        <f>IFERROR(IF(JHers!J38="","",JHers!J38),"")</f>
        <v>https://www.janushenderson.com/en-gb/adviser/bio/brian-recht/</v>
      </c>
      <c r="K184" t="str">
        <f>IFERROR(IF(JHers!K38="","",JHers!K38),"")</f>
        <v>NO_DATO</v>
      </c>
    </row>
    <row r="185" spans="1:11" x14ac:dyDescent="0.3">
      <c r="A185" t="str">
        <f>IFERROR(IF(JHers!A39="","",JHers!A39),"")</f>
        <v>Carlo Castronovo</v>
      </c>
      <c r="B185" t="str">
        <f>IFERROR(IF(JHers!B39="","",JHers!B39),"")</f>
        <v>Portfolio Manager</v>
      </c>
      <c r="C185" t="str">
        <f>IFERROR(IF(JHers!C39="","",JHers!C39),"")</f>
        <v>Portfolio Manager</v>
      </c>
      <c r="D185" t="str">
        <f>IFERROR(IF(JHers!D39="","",JHers!D39),"")</f>
        <v>Alternativos</v>
      </c>
      <c r="E185" t="str">
        <f>IFERROR(IF(JHers!E39="","",JHers!E39),"")</f>
        <v>Diversified alternatives / multi-strategy</v>
      </c>
      <c r="F185" t="str">
        <f>IFERROR(IF(JHers!F39="","",JHers!F39),"")</f>
        <v>Global</v>
      </c>
      <c r="G185" t="str">
        <f>IFERROR(IF(JHers!G39="","",JHers!G39),"")</f>
        <v>Alternativos líquidos / estrategias multiestrategia</v>
      </c>
      <c r="H185" t="str">
        <f>IFERROR(IF(JHers!H39="","",JHers!H39),"")</f>
        <v>Global Multi-Strategy funds</v>
      </c>
      <c r="I185" t="str">
        <f>IFERROR(IF(JHers!I39="","",JHers!I39),"")</f>
        <v>NO_DATO</v>
      </c>
      <c r="J185" t="str">
        <f>IFERROR(IF(JHers!J39="","",JHers!J39),"")</f>
        <v>https://www.janushenderson.com/middle-east/institutional/bio/carlo-castronovo/</v>
      </c>
      <c r="K185" t="str">
        <f>IFERROR(IF(JHers!K39="","",JHers!K39),"")</f>
        <v>NO_DATO</v>
      </c>
    </row>
    <row r="186" spans="1:11" x14ac:dyDescent="0.3">
      <c r="A186" t="str">
        <f>IFERROR(IF(JHers!A40="","",JHers!A40),"")</f>
        <v>Charlotte Greville, CFA</v>
      </c>
      <c r="B186" t="str">
        <f>IFERROR(IF(JHers!B40="","",JHers!B40),"")</f>
        <v>Portfolio Manager</v>
      </c>
      <c r="C186" t="str">
        <f>IFERROR(IF(JHers!C40="","",JHers!C40),"")</f>
        <v>Portfolio Manager</v>
      </c>
      <c r="D186" t="str">
        <f>IFERROR(IF(JHers!D40="","",JHers!D40),"")</f>
        <v>Renta variable</v>
      </c>
      <c r="E186" t="str">
        <f>IFERROR(IF(JHers!E40="","",JHers!E40),"")</f>
        <v>Global equity income</v>
      </c>
      <c r="F186" t="str">
        <f>IFERROR(IF(JHers!F40="","",JHers!F40),"")</f>
        <v>Global</v>
      </c>
      <c r="G186" t="str">
        <f>IFERROR(IF(JHers!G40="","",JHers!G40),"")</f>
        <v>Renta variable global de dividendo / income</v>
      </c>
      <c r="H186" t="str">
        <f>IFERROR(IF(JHers!H40="","",JHers!H40),"")</f>
        <v>Global Equity Income strategies</v>
      </c>
      <c r="I186" t="str">
        <f>IFERROR(IF(JHers!I40="","",JHers!I40),"")</f>
        <v>NO_DATO</v>
      </c>
      <c r="J186" t="str">
        <f>IFERROR(IF(JHers!J40="","",JHers!J40),"")</f>
        <v>https://www.janushenderson.com/en-us/advisor/bio/charlotte-greville-cfa/</v>
      </c>
      <c r="K186" t="str">
        <f>IFERROR(IF(JHers!K40="","",JHers!K40),"")</f>
        <v>NO_DATO</v>
      </c>
    </row>
    <row r="187" spans="1:11" x14ac:dyDescent="0.3">
      <c r="A187" t="str">
        <f>IFERROR(IF(JHers!A41="","",JHers!A41),"")</f>
        <v>Christopher O'Malley, CFA</v>
      </c>
      <c r="B187" t="str">
        <f>IFERROR(IF(JHers!B41="","",JHers!B41),"")</f>
        <v>Portfolio Manager | Research Analyst</v>
      </c>
      <c r="C187" t="str">
        <f>IFERROR(IF(JHers!C41="","",JHers!C41),"")</f>
        <v>Portfolio Manager + Analista</v>
      </c>
      <c r="D187" t="str">
        <f>IFERROR(IF(JHers!D41="","",JHers!D41),"")</f>
        <v>Renta variable</v>
      </c>
      <c r="E187" t="str">
        <f>IFERROR(IF(JHers!E41="","",JHers!E41),"")</f>
        <v>Global alpha equities</v>
      </c>
      <c r="F187" t="str">
        <f>IFERROR(IF(JHers!F41="","",JHers!F41),"")</f>
        <v>Global</v>
      </c>
      <c r="G187" t="str">
        <f>IFERROR(IF(JHers!G41="","",JHers!G41),"")</f>
        <v>Renta variable global / enfoque growth de alta convicción</v>
      </c>
      <c r="H187" t="str">
        <f>IFERROR(IF(JHers!H41="","",JHers!H41),"")</f>
        <v>Global Alpha Equity strategies</v>
      </c>
      <c r="I187" t="str">
        <f>IFERROR(IF(JHers!I41="","",JHers!I41),"")</f>
        <v>NO_DATO</v>
      </c>
      <c r="J187" t="str">
        <f>IFERROR(IF(JHers!J41="","",JHers!J41),"")</f>
        <v>https://www.janushenderson.com/en-us/offshore/bio/christopher-omalley-cfa/</v>
      </c>
      <c r="K187" t="str">
        <f>IFERROR(IF(JHers!K41="","",JHers!K41),"")</f>
        <v>NO_DATO</v>
      </c>
    </row>
    <row r="188" spans="1:11" x14ac:dyDescent="0.3">
      <c r="A188" t="str">
        <f>IFERROR(IF(JHers!A42="","",JHers!A42),"")</f>
        <v>Cody Wheaton, CFA</v>
      </c>
      <c r="B188" t="str">
        <f>IFERROR(IF(JHers!B42="","",JHers!B42),"")</f>
        <v>Portfolio Manager | Research Analyst</v>
      </c>
      <c r="C188" t="str">
        <f>IFERROR(IF(JHers!C42="","",JHers!C42),"")</f>
        <v>Portfolio Manager + Analista</v>
      </c>
      <c r="D188" t="str">
        <f>IFERROR(IF(JHers!D42="","",JHers!D42),"")</f>
        <v>Renta variable</v>
      </c>
      <c r="E188" t="str">
        <f>IFERROR(IF(JHers!E42="","",JHers!E42),"")</f>
        <v>US mid-cap growth</v>
      </c>
      <c r="F188" t="str">
        <f>IFERROR(IF(JHers!F42="","",JHers!F42),"")</f>
        <v>Estados Unidos</v>
      </c>
      <c r="G188" t="str">
        <f>IFERROR(IF(JHers!G42="","",JHers!G42),"")</f>
        <v>Small &amp; mid cap growth / financieros y consumo</v>
      </c>
      <c r="H188" t="str">
        <f>IFERROR(IF(JHers!H42="","",JHers!H42),"")</f>
        <v>US Mid Cap Growth strategies</v>
      </c>
      <c r="I188" t="str">
        <f>IFERROR(IF(JHers!I42="","",JHers!I42),"")</f>
        <v>NO_DATO</v>
      </c>
      <c r="J188" t="str">
        <f>IFERROR(IF(JHers!J42="","",JHers!J42),"")</f>
        <v>https://www.janushenderson.com/en-us/advisor/bio/philip-cody-wheaton-cfa/</v>
      </c>
      <c r="K188" t="str">
        <f>IFERROR(IF(JHers!K42="","",JHers!K42),"")</f>
        <v>NO_DATO</v>
      </c>
    </row>
    <row r="189" spans="1:11" x14ac:dyDescent="0.3">
      <c r="A189" t="str">
        <f>IFERROR(IF(JHers!A43="","",JHers!A43),"")</f>
        <v>Craig Kempler, CFA</v>
      </c>
      <c r="B189" t="str">
        <f>IFERROR(IF(JHers!B43="","",JHers!B43),"")</f>
        <v>Portfolio Manager</v>
      </c>
      <c r="C189" t="str">
        <f>IFERROR(IF(JHers!C43="","",JHers!C43),"")</f>
        <v>Portfolio Manager</v>
      </c>
      <c r="D189" t="str">
        <f>IFERROR(IF(JHers!D43="","",JHers!D43),"")</f>
        <v>Renta variable</v>
      </c>
      <c r="E189" t="str">
        <f>IFERROR(IF(JHers!E43="","",JHers!E43),"")</f>
        <v>US SMID value</v>
      </c>
      <c r="F189" t="str">
        <f>IFERROR(IF(JHers!F43="","",JHers!F43),"")</f>
        <v>Estados Unidos</v>
      </c>
      <c r="G189" t="str">
        <f>IFERROR(IF(JHers!G43="","",JHers!G43),"")</f>
        <v>Renta variable value en small &amp; mid caps</v>
      </c>
      <c r="H189" t="str">
        <f>IFERROR(IF(JHers!H43="","",JHers!H43),"")</f>
        <v>US SMID Value strategies</v>
      </c>
      <c r="I189" t="str">
        <f>IFERROR(IF(JHers!I43="","",JHers!I43),"")</f>
        <v>NO_DATO</v>
      </c>
      <c r="J189" t="str">
        <f>IFERROR(IF(JHers!J43="","",JHers!J43),"")</f>
        <v>https://www.janushenderson.com/en-dk/investor/bio/craig-kempler-cfa/</v>
      </c>
      <c r="K189" t="str">
        <f>IFERROR(IF(JHers!K43="","",JHers!K43),"")</f>
        <v>NO_DATO</v>
      </c>
    </row>
    <row r="190" spans="1:11" x14ac:dyDescent="0.3">
      <c r="A190" t="str">
        <f>IFERROR(IF(JHers!A44="","",JHers!A44),"")</f>
        <v>Daniel Lyons, PhD, CFA</v>
      </c>
      <c r="B190" t="str">
        <f>IFERROR(IF(JHers!B44="","",JHers!B44),"")</f>
        <v>Portfolio Manager | Research Analyst</v>
      </c>
      <c r="C190" t="str">
        <f>IFERROR(IF(JHers!C44="","",JHers!C44),"")</f>
        <v>Portfolio Manager + Analista</v>
      </c>
      <c r="D190" t="str">
        <f>IFERROR(IF(JHers!D44="","",JHers!D44),"")</f>
        <v>Renta variable</v>
      </c>
      <c r="E190" t="str">
        <f>IFERROR(IF(JHers!E44="","",JHers!E44),"")</f>
        <v>Global healthcare / biotech</v>
      </c>
      <c r="F190" t="str">
        <f>IFERROR(IF(JHers!F44="","",JHers!F44),"")</f>
        <v>Global</v>
      </c>
      <c r="G190" t="str">
        <f>IFERROR(IF(JHers!G44="","",JHers!G44),"")</f>
        <v>Biotecnología y life science tools</v>
      </c>
      <c r="H190" t="str">
        <f>IFERROR(IF(JHers!H44="","",JHers!H44),"")</f>
        <v>Health Care &amp; Biotech strategies</v>
      </c>
      <c r="I190" t="str">
        <f>IFERROR(IF(JHers!I44="","",JHers!I44),"")</f>
        <v>NO_DATO</v>
      </c>
      <c r="J190" t="str">
        <f>IFERROR(IF(JHers!J44="","",JHers!J44),"")</f>
        <v>https://www.janushenderson.com/en-be/advisor/bio/daniel-lyons-phd-cfa/</v>
      </c>
      <c r="K190" t="str">
        <f>IFERROR(IF(JHers!K44="","",JHers!K44),"")</f>
        <v>NO_DATO</v>
      </c>
    </row>
    <row r="191" spans="1:11" x14ac:dyDescent="0.3">
      <c r="A191" t="str">
        <f>IFERROR(IF(JHers!A45="","",JHers!A45),"")</f>
        <v>Daniel Siluk</v>
      </c>
      <c r="B191" t="str">
        <f>IFERROR(IF(JHers!B45="","",JHers!B45),"")</f>
        <v>Head of Global Short Duration &amp; Liquidity | Portfolio Manager</v>
      </c>
      <c r="C191" t="str">
        <f>IFERROR(IF(JHers!C45="","",JHers!C45),"")</f>
        <v>Portfolio Manager</v>
      </c>
      <c r="D191" t="str">
        <f>IFERROR(IF(JHers!D45="","",JHers!D45),"")</f>
        <v>Renta fija</v>
      </c>
      <c r="E191" t="str">
        <f>IFERROR(IF(JHers!E45="","",JHers!E45),"")</f>
        <v>Short duration &amp; liquidity</v>
      </c>
      <c r="F191" t="str">
        <f>IFERROR(IF(JHers!F45="","",JHers!F45),"")</f>
        <v>Global</v>
      </c>
      <c r="G191" t="str">
        <f>IFERROR(IF(JHers!G45="","",JHers!G45),"")</f>
        <v>Renta fija a corto plazo / liquidez</v>
      </c>
      <c r="H191" t="str">
        <f>IFERROR(IF(JHers!H45="","",JHers!H45),"")</f>
        <v>Global Short Duration &amp; Liquidity strategies</v>
      </c>
      <c r="I191" t="str">
        <f>IFERROR(IF(JHers!I45="","",JHers!I45),"")</f>
        <v>NO_DATO</v>
      </c>
      <c r="J191" t="str">
        <f>IFERROR(IF(JHers!J45="","",JHers!J45),"")</f>
        <v>https://www.janushendersoncharitable.org/bio/daniel-siluk/</v>
      </c>
      <c r="K191" t="str">
        <f>IFERROR(IF(JHers!K45="","",JHers!K45),"")</f>
        <v>NO_DATO</v>
      </c>
    </row>
    <row r="192" spans="1:11" x14ac:dyDescent="0.3">
      <c r="A192" t="str">
        <f>IFERROR(IF(JHers!A46="","",JHers!A46),"")</f>
        <v>Danny Greenberger</v>
      </c>
      <c r="B192" t="str">
        <f>IFERROR(IF(JHers!B46="","",JHers!B46),"")</f>
        <v>Portfolio Manager</v>
      </c>
      <c r="C192" t="str">
        <f>IFERROR(IF(JHers!C46="","",JHers!C46),"")</f>
        <v>Portfolio Manager</v>
      </c>
      <c r="D192" t="str">
        <f>IFERROR(IF(JHers!D46="","",JHers!D46),"")</f>
        <v>Renta variable</v>
      </c>
      <c r="E192" t="str">
        <f>IFERROR(IF(JHers!E46="","",JHers!E46),"")</f>
        <v>Global property equities</v>
      </c>
      <c r="F192" t="str">
        <f>IFERROR(IF(JHers!F46="","",JHers!F46),"")</f>
        <v>Global</v>
      </c>
      <c r="G192" t="str">
        <f>IFERROR(IF(JHers!G46="","",JHers!G46),"")</f>
        <v>Inmobiliario cotizado / real estate long/short</v>
      </c>
      <c r="H192" t="str">
        <f>IFERROR(IF(JHers!H46="","",JHers!H46),"")</f>
        <v>Global Property Equities strategies</v>
      </c>
      <c r="I192" t="str">
        <f>IFERROR(IF(JHers!I46="","",JHers!I46),"")</f>
        <v>NO_DATO</v>
      </c>
      <c r="J192" t="str">
        <f>IFERROR(IF(JHers!J46="","",JHers!J46),"")</f>
        <v>https://www.janushenderson.com/en-us/advisor/bio/daniel-greenberger/</v>
      </c>
      <c r="K192" t="str">
        <f>IFERROR(IF(JHers!K46="","",JHers!K46),"")</f>
        <v>NO_DATO</v>
      </c>
    </row>
    <row r="193" spans="1:11" x14ac:dyDescent="0.3">
      <c r="A193" t="str">
        <f>IFERROR(IF(JHers!A47="","",JHers!A47),"")</f>
        <v>David Elms</v>
      </c>
      <c r="B193" t="str">
        <f>IFERROR(IF(JHers!B47="","",JHers!B47),"")</f>
        <v>Head of Diversified Alternatives | Portfolio Manager</v>
      </c>
      <c r="C193" t="str">
        <f>IFERROR(IF(JHers!C47="","",JHers!C47),"")</f>
        <v>Portfolio Manager</v>
      </c>
      <c r="D193" t="str">
        <f>IFERROR(IF(JHers!D47="","",JHers!D47),"")</f>
        <v>Alternativos</v>
      </c>
      <c r="E193" t="str">
        <f>IFERROR(IF(JHers!E47="","",JHers!E47),"")</f>
        <v>Diversified alternatives / absolute return</v>
      </c>
      <c r="F193" t="str">
        <f>IFERROR(IF(JHers!F47="","",JHers!F47),"")</f>
        <v>Global</v>
      </c>
      <c r="G193" t="str">
        <f>IFERROR(IF(JHers!G47="","",JHers!G47),"")</f>
        <v>Alternativos líquidos / retorno absoluto</v>
      </c>
      <c r="H193" t="str">
        <f>IFERROR(IF(JHers!H47="","",JHers!H47),"")</f>
        <v>Diversified Alternatives strategies</v>
      </c>
      <c r="I193" t="str">
        <f>IFERROR(IF(JHers!I47="","",JHers!I47),"")</f>
        <v>NO_DATO</v>
      </c>
      <c r="J193" t="str">
        <f>IFERROR(IF(JHers!J47="","",JHers!J47),"")</f>
        <v>https://www.janushenderson.com/en-us/advisor/bio/david-elms/</v>
      </c>
      <c r="K193" t="str">
        <f>IFERROR(IF(JHers!K47="","",JHers!K47),"")</f>
        <v>NO_DATO</v>
      </c>
    </row>
    <row r="194" spans="1:11" x14ac:dyDescent="0.3">
      <c r="A194" t="str">
        <f>IFERROR(IF(JHers!A48="","",JHers!A48),"")</f>
        <v>David Padulo, CFA</v>
      </c>
      <c r="B194" t="str">
        <f>IFERROR(IF(JHers!B48="","",JHers!B48),"")</f>
        <v>Portfolio Manager</v>
      </c>
      <c r="C194" t="str">
        <f>IFERROR(IF(JHers!C48="","",JHers!C48),"")</f>
        <v>Portfolio Manager</v>
      </c>
      <c r="D194" t="str">
        <f>IFERROR(IF(JHers!D48="","",JHers!D48),"")</f>
        <v>Renta fija</v>
      </c>
      <c r="E194" t="str">
        <f>IFERROR(IF(JHers!E48="","",JHers!E48),"")</f>
        <v>Investment grade corporate credit</v>
      </c>
      <c r="F194" t="str">
        <f>IFERROR(IF(JHers!F48="","",JHers!F48),"")</f>
        <v>Global</v>
      </c>
      <c r="G194" t="str">
        <f>IFERROR(IF(JHers!G48="","",JHers!G48),"")</f>
        <v>Crédito corporativo investment grade</v>
      </c>
      <c r="H194" t="str">
        <f>IFERROR(IF(JHers!H48="","",JHers!H48),"")</f>
        <v>Corporate Credit strategies</v>
      </c>
      <c r="I194" t="str">
        <f>IFERROR(IF(JHers!I48="","",JHers!I48),"")</f>
        <v>NO_DATO</v>
      </c>
      <c r="J194" t="str">
        <f>IFERROR(IF(JHers!J48="","",JHers!J48),"")</f>
        <v>https://www.janushenderson.com/nl-nl/investor/bio/david-padulo-cfa/</v>
      </c>
      <c r="K194" t="str">
        <f>IFERROR(IF(JHers!K48="","",JHers!K48),"")</f>
        <v>NO_DATO</v>
      </c>
    </row>
    <row r="195" spans="1:11" x14ac:dyDescent="0.3">
      <c r="A195" t="str">
        <f>IFERROR(IF(JHers!A49="","",JHers!A49),"")</f>
        <v>David Smith, CFA</v>
      </c>
      <c r="B195" t="str">
        <f>IFERROR(IF(JHers!B49="","",JHers!B49),"")</f>
        <v>Portfolio Manager</v>
      </c>
      <c r="C195" t="str">
        <f>IFERROR(IF(JHers!C49="","",JHers!C49),"")</f>
        <v>Portfolio Manager</v>
      </c>
      <c r="D195" t="str">
        <f>IFERROR(IF(JHers!D49="","",JHers!D49),"")</f>
        <v>Renta variable</v>
      </c>
      <c r="E195" t="str">
        <f>IFERROR(IF(JHers!E49="","",JHers!E49),"")</f>
        <v>UK &amp; global equity income</v>
      </c>
      <c r="F195" t="str">
        <f>IFERROR(IF(JHers!F49="","",JHers!F49),"")</f>
        <v>Reino Unido / Global</v>
      </c>
      <c r="G195" t="str">
        <f>IFERROR(IF(JHers!G49="","",JHers!G49),"")</f>
        <v>Renta variable de dividendo / income</v>
      </c>
      <c r="H195" t="str">
        <f>IFERROR(IF(JHers!H49="","",JHers!H49),"")</f>
        <v>Janus Henderson UK Responsible Income Fund</v>
      </c>
      <c r="I195" t="str">
        <f>IFERROR(IF(JHers!I49="","",JHers!I49),"")</f>
        <v>GB0005030373</v>
      </c>
      <c r="J195" t="str">
        <f>IFERROR(IF(JHers!J49="","",JHers!J49),"")</f>
        <v>https://www.janushenderson.com/en-gb/investor/bio/david-smith/</v>
      </c>
      <c r="K195" t="str">
        <f>IFERROR(IF(JHers!K49="","",JHers!K49),"")</f>
        <v>NO_DATO</v>
      </c>
    </row>
    <row r="196" spans="1:11" x14ac:dyDescent="0.3">
      <c r="A196" t="str">
        <f>IFERROR(IF(JHers!A50="","",JHers!A50),"")</f>
        <v>Denis Struc</v>
      </c>
      <c r="B196" t="str">
        <f>IFERROR(IF(JHers!B50="","",JHers!B50),"")</f>
        <v>Portfolio Manager</v>
      </c>
      <c r="C196" t="str">
        <f>IFERROR(IF(JHers!C50="","",JHers!C50),"")</f>
        <v>Portfolio Manager</v>
      </c>
      <c r="D196" t="str">
        <f>IFERROR(IF(JHers!D50="","",JHers!D50),"")</f>
        <v>Renta fija</v>
      </c>
      <c r="E196" t="str">
        <f>IFERROR(IF(JHers!E50="","",JHers!E50),"")</f>
        <v>Secured credit / securitised debt</v>
      </c>
      <c r="F196" t="str">
        <f>IFERROR(IF(JHers!F50="","",JHers!F50),"")</f>
        <v>Global</v>
      </c>
      <c r="G196" t="str">
        <f>IFERROR(IF(JHers!G50="","",JHers!G50),"")</f>
        <v>Crédito titulizado / ABS</v>
      </c>
      <c r="H196" t="str">
        <f>IFERROR(IF(JHers!H50="","",JHers!H50),"")</f>
        <v>Secured Credit strategies</v>
      </c>
      <c r="I196" t="str">
        <f>IFERROR(IF(JHers!I50="","",JHers!I50),"")</f>
        <v>NO_DATO</v>
      </c>
      <c r="J196" t="str">
        <f>IFERROR(IF(JHers!J50="","",JHers!J50),"")</f>
        <v>https://www.janushenderson.com/corporate/bio/denis-struc/</v>
      </c>
      <c r="K196" t="str">
        <f>IFERROR(IF(JHers!K50="","",JHers!K50),"")</f>
        <v>NO_DATO</v>
      </c>
    </row>
    <row r="197" spans="1:11" x14ac:dyDescent="0.3">
      <c r="A197" t="str">
        <f>IFERROR(IF(JHers!A51="","",JHers!A51),"")</f>
        <v>Denny Fish</v>
      </c>
      <c r="B197" t="str">
        <f>IFERROR(IF(JHers!B51="","",JHers!B51),"")</f>
        <v>Portfolio Manager | Research Analyst</v>
      </c>
      <c r="C197" t="str">
        <f>IFERROR(IF(JHers!C51="","",JHers!C51),"")</f>
        <v>Portfolio Manager + Analista</v>
      </c>
      <c r="D197" t="str">
        <f>IFERROR(IF(JHers!D51="","",JHers!D51),"")</f>
        <v>Renta variable</v>
      </c>
      <c r="E197" t="str">
        <f>IFERROR(IF(JHers!E51="","",JHers!E51),"")</f>
        <v>Global technology &amp; innovation equities</v>
      </c>
      <c r="F197" t="str">
        <f>IFERROR(IF(JHers!F51="","",JHers!F51),"")</f>
        <v>Global</v>
      </c>
      <c r="G197" t="str">
        <f>IFERROR(IF(JHers!G51="","",JHers!G51),"")</f>
        <v>Tecnología</v>
      </c>
      <c r="H197" t="str">
        <f>IFERROR(IF(JHers!H51="","",JHers!H51),"")</f>
        <v>Global Technology &amp; Innovation strategies</v>
      </c>
      <c r="I197" t="str">
        <f>IFERROR(IF(JHers!I51="","",JHers!I51),"")</f>
        <v>NO_DATO</v>
      </c>
      <c r="J197" t="str">
        <f>IFERROR(IF(JHers!J51="","",JHers!J51),"")</f>
        <v>https://www.janushenderson.com/en-us/advisor/bio/denny-fish/</v>
      </c>
      <c r="K197" t="str">
        <f>IFERROR(IF(JHers!K51="","",JHers!K51),"")</f>
        <v>NO_DATO</v>
      </c>
    </row>
    <row r="198" spans="1:11" x14ac:dyDescent="0.3">
      <c r="A198" t="str">
        <f>IFERROR(IF(JHers!A52="","",JHers!A52),"")</f>
        <v>Dimitri Diamand</v>
      </c>
      <c r="B198" t="str">
        <f>IFERROR(IF(JHers!B52="","",JHers!B52),"")</f>
        <v>Associate Portfolio Manager</v>
      </c>
      <c r="C198" t="str">
        <f>IFERROR(IF(JHers!C52="","",JHers!C52),"")</f>
        <v>Portfolio Manager</v>
      </c>
      <c r="D198" t="str">
        <f>IFERROR(IF(JHers!D52="","",JHers!D52),"")</f>
        <v>Renta fija</v>
      </c>
      <c r="E198" t="str">
        <f>IFERROR(IF(JHers!E52="","",JHers!E52),"")</f>
        <v>Australian fixed interest</v>
      </c>
      <c r="F198" t="str">
        <f>IFERROR(IF(JHers!F52="","",JHers!F52),"")</f>
        <v>Australia</v>
      </c>
      <c r="G198" t="str">
        <f>IFERROR(IF(JHers!G52="","",JHers!G52),"")</f>
        <v>Renta fija australiana / duración</v>
      </c>
      <c r="H198" t="str">
        <f>IFERROR(IF(JHers!H52="","",JHers!H52),"")</f>
        <v>Australian Fixed Interest strategies</v>
      </c>
      <c r="I198" t="str">
        <f>IFERROR(IF(JHers!I52="","",JHers!I52),"")</f>
        <v>NO_DATO</v>
      </c>
      <c r="J198" t="str">
        <f>IFERROR(IF(JHers!J52="","",JHers!J52),"")</f>
        <v>https://www.janushenderson.com/en-hk/investor/bio/dimitri-diamand/</v>
      </c>
      <c r="K198" t="str">
        <f>IFERROR(IF(JHers!K52="","",JHers!K52),"")</f>
        <v>NO_DATO</v>
      </c>
    </row>
    <row r="199" spans="1:11" x14ac:dyDescent="0.3">
      <c r="A199" t="str">
        <f>IFERROR(IF(JHers!A53="","",JHers!A53),"")</f>
        <v>Douglas Turnbull, CFA</v>
      </c>
      <c r="B199" t="str">
        <f>IFERROR(IF(JHers!B53="","",JHers!B53),"")</f>
        <v>Portfolio Manager | Research Analyst</v>
      </c>
      <c r="C199" t="str">
        <f>IFERROR(IF(JHers!C53="","",JHers!C53),"")</f>
        <v>Portfolio Manager + Analista</v>
      </c>
      <c r="D199" t="str">
        <f>IFERROR(IF(JHers!D53="","",JHers!D53),"")</f>
        <v>Renta variable</v>
      </c>
      <c r="E199" t="str">
        <f>IFERROR(IF(JHers!E53="","",JHers!E53),"")</f>
        <v>Emerging markets equities</v>
      </c>
      <c r="F199" t="str">
        <f>IFERROR(IF(JHers!F53="","",JHers!F53),"")</f>
        <v>Mercados emergentes</v>
      </c>
      <c r="G199" t="str">
        <f>IFERROR(IF(JHers!G53="","",JHers!G53),"")</f>
        <v>Renta variable emergente / tecnología</v>
      </c>
      <c r="H199" t="str">
        <f>IFERROR(IF(JHers!H53="","",JHers!H53),"")</f>
        <v>Emerging Market Equity strategies</v>
      </c>
      <c r="I199" t="str">
        <f>IFERROR(IF(JHers!I53="","",JHers!I53),"")</f>
        <v>NO_DATO</v>
      </c>
      <c r="J199" t="str">
        <f>IFERROR(IF(JHers!J53="","",JHers!J53),"")</f>
        <v>https://www.janushenderson.com/en-ch/investor/bio/douglas-turnbull/</v>
      </c>
      <c r="K199" t="str">
        <f>IFERROR(IF(JHers!K53="","",JHers!K53),"")</f>
        <v>NO_DATO</v>
      </c>
    </row>
    <row r="200" spans="1:11" x14ac:dyDescent="0.3">
      <c r="A200" t="str">
        <f>IFERROR(IF(JHers!A54="","",JHers!A54),"")</f>
        <v>Dylan Bourke, CFA</v>
      </c>
      <c r="B200" t="str">
        <f>IFERROR(IF(JHers!B54="","",JHers!B54),"")</f>
        <v>Portfolio Manager</v>
      </c>
      <c r="C200" t="str">
        <f>IFERROR(IF(JHers!C54="","",JHers!C54),"")</f>
        <v>Portfolio Manager</v>
      </c>
      <c r="D200" t="str">
        <f>IFERROR(IF(JHers!D54="","",JHers!D54),"")</f>
        <v>Renta fija</v>
      </c>
      <c r="E200" t="str">
        <f>IFERROR(IF(JHers!E54="","",JHers!E54),"")</f>
        <v>Global short duration income</v>
      </c>
      <c r="F200" t="str">
        <f>IFERROR(IF(JHers!F54="","",JHers!F54),"")</f>
        <v>Global</v>
      </c>
      <c r="G200" t="str">
        <f>IFERROR(IF(JHers!G54="","",JHers!G54),"")</f>
        <v>Renta fija a corto plazo / liquidez</v>
      </c>
      <c r="H200" t="str">
        <f>IFERROR(IF(JHers!H54="","",JHers!H54),"")</f>
        <v>Global Short Duration &amp; Liquidity strategies</v>
      </c>
      <c r="I200" t="str">
        <f>IFERROR(IF(JHers!I54="","",JHers!I54),"")</f>
        <v>NO_DATO</v>
      </c>
      <c r="J200" t="str">
        <f>IFERROR(IF(JHers!J54="","",JHers!J54),"")</f>
        <v>https://www.janushenderson.com/en-se/advisor/bio/dylan-bourke/</v>
      </c>
      <c r="K200" t="str">
        <f>IFERROR(IF(JHers!K54="","",JHers!K54),"")</f>
        <v>NO_DATO</v>
      </c>
    </row>
    <row r="201" spans="1:11" x14ac:dyDescent="0.3">
      <c r="A201" t="str">
        <f>IFERROR(IF(JHers!A55="","",JHers!A55),"")</f>
        <v>Eduardo Jimenez Martin, CFA, FRM</v>
      </c>
      <c r="B201" t="str">
        <f>IFERROR(IF(JHers!B55="","",JHers!B55),"")</f>
        <v>Portfolio Manager</v>
      </c>
      <c r="C201" t="str">
        <f>IFERROR(IF(JHers!C55="","",JHers!C55),"")</f>
        <v>Portfolio Manager</v>
      </c>
      <c r="D201" t="str">
        <f>IFERROR(IF(JHers!D55="","",JHers!D55),"")</f>
        <v>Multiactivo</v>
      </c>
      <c r="E201" t="str">
        <f>IFERROR(IF(JHers!E55="","",JHers!E55),"")</f>
        <v>Global multi-asset</v>
      </c>
      <c r="F201" t="str">
        <f>IFERROR(IF(JHers!F55="","",JHers!F55),"")</f>
        <v>Global</v>
      </c>
      <c r="G201" t="str">
        <f>IFERROR(IF(JHers!G55="","",JHers!G55),"")</f>
        <v>Multiactivo / asignación cuantitativa</v>
      </c>
      <c r="H201" t="str">
        <f>IFERROR(IF(JHers!H55="","",JHers!H55),"")</f>
        <v>Multi-Asset strategies</v>
      </c>
      <c r="I201" t="str">
        <f>IFERROR(IF(JHers!I55="","",JHers!I55),"")</f>
        <v>NO_DATO</v>
      </c>
      <c r="J201" t="str">
        <f>IFERROR(IF(JHers!J55="","",JHers!J55),"")</f>
        <v>https://www.janushenderson.com/corporate/bio/eduardo-jimenez-martin-cfa-frm/</v>
      </c>
      <c r="K201" t="str">
        <f>IFERROR(IF(JHers!K55="","",JHers!K55),"")</f>
        <v>NO_DATO</v>
      </c>
    </row>
    <row r="202" spans="1:11" x14ac:dyDescent="0.3">
      <c r="A202" t="str">
        <f>IFERROR(IF(JHers!A56="","",JHers!A56),"")</f>
        <v>Edward Parcell</v>
      </c>
      <c r="B202" t="str">
        <f>IFERROR(IF(JHers!B56="","",JHers!B56),"")</f>
        <v>Portfolio Manager</v>
      </c>
      <c r="C202" t="str">
        <f>IFERROR(IF(JHers!C56="","",JHers!C56),"")</f>
        <v>Portfolio Manager</v>
      </c>
      <c r="D202" t="str">
        <f>IFERROR(IF(JHers!D56="","",JHers!D56),"")</f>
        <v>Alternativos</v>
      </c>
      <c r="E202" t="str">
        <f>IFERROR(IF(JHers!E56="","",JHers!E56),"")</f>
        <v>Diversified alternatives / multi-strategy</v>
      </c>
      <c r="F202" t="str">
        <f>IFERROR(IF(JHers!F56="","",JHers!F56),"")</f>
        <v>Global</v>
      </c>
      <c r="G202" t="str">
        <f>IFERROR(IF(JHers!G56="","",JHers!G56),"")</f>
        <v>Alternativos líquidos / sistemáticos</v>
      </c>
      <c r="H202" t="str">
        <f>IFERROR(IF(JHers!H56="","",JHers!H56),"")</f>
        <v>Diversified Alternatives strategies</v>
      </c>
      <c r="I202" t="str">
        <f>IFERROR(IF(JHers!I56="","",JHers!I56),"")</f>
        <v>NO_DATO</v>
      </c>
      <c r="J202" t="str">
        <f>IFERROR(IF(JHers!J56="","",JHers!J56),"")</f>
        <v>https://www.janushenderson.com/en-gb/investor/bio/edward-parcell/</v>
      </c>
      <c r="K202" t="str">
        <f>IFERROR(IF(JHers!K56="","",JHers!K56),"")</f>
        <v>NO_DATO</v>
      </c>
    </row>
    <row r="203" spans="1:11" x14ac:dyDescent="0.3">
      <c r="A203" t="str">
        <f>IFERROR(IF(JHers!A57="","",JHers!A57),"")</f>
        <v>Edward Su, CFA</v>
      </c>
      <c r="B203" t="str">
        <f>IFERROR(IF(JHers!B57="","",JHers!B57),"")</f>
        <v>Portfolio Manager | Research Analyst</v>
      </c>
      <c r="C203" t="str">
        <f>IFERROR(IF(JHers!C57="","",JHers!C57),"")</f>
        <v>Portfolio Manager + Analista</v>
      </c>
      <c r="D203" t="str">
        <f>IFERROR(IF(JHers!D57="","",JHers!D57),"")</f>
        <v>Renta variable</v>
      </c>
      <c r="E203" t="str">
        <f>IFERROR(IF(JHers!E57="","",JHers!E57),"")</f>
        <v>Consumer equities</v>
      </c>
      <c r="F203" t="str">
        <f>IFERROR(IF(JHers!F57="","",JHers!F57),"")</f>
        <v>Global</v>
      </c>
      <c r="G203" t="str">
        <f>IFERROR(IF(JHers!G57="","",JHers!G57),"")</f>
        <v>Consumo global / growth</v>
      </c>
      <c r="H203" t="str">
        <f>IFERROR(IF(JHers!H57="","",JHers!H57),"")</f>
        <v>Consumer Sector strategies</v>
      </c>
      <c r="I203" t="str">
        <f>IFERROR(IF(JHers!I57="","",JHers!I57),"")</f>
        <v>NO_DATO</v>
      </c>
      <c r="J203" t="str">
        <f>IFERROR(IF(JHers!J57="","",JHers!J57),"")</f>
        <v>https://www.janushenderson.com/en-us/advisor/bio/edward-su-cfa/</v>
      </c>
      <c r="K203" t="str">
        <f>IFERROR(IF(JHers!K57="","",JHers!K57),"")</f>
        <v>NO_DATO</v>
      </c>
    </row>
    <row r="204" spans="1:11" x14ac:dyDescent="0.3">
      <c r="A204" t="str">
        <f>IFERROR(IF(JHers!A58="","",JHers!A58),"")</f>
        <v>Faizan Baig, CFA</v>
      </c>
      <c r="B204" t="str">
        <f>IFERROR(IF(JHers!B58="","",JHers!B58),"")</f>
        <v>Portfolio Manager</v>
      </c>
      <c r="C204" t="str">
        <f>IFERROR(IF(JHers!C58="","",JHers!C58),"")</f>
        <v>Portfolio Manager</v>
      </c>
      <c r="D204" t="str">
        <f>IFERROR(IF(JHers!D58="","",JHers!D58),"")</f>
        <v>Renta variable</v>
      </c>
      <c r="E204" t="str">
        <f>IFERROR(IF(JHers!E58="","",JHers!E58),"")</f>
        <v>Global equity income</v>
      </c>
      <c r="F204" t="str">
        <f>IFERROR(IF(JHers!F58="","",JHers!F58),"")</f>
        <v>Global</v>
      </c>
      <c r="G204" t="str">
        <f>IFERROR(IF(JHers!G58="","",JHers!G58),"")</f>
        <v>Renta variable global de dividendo / income</v>
      </c>
      <c r="H204" t="str">
        <f>IFERROR(IF(JHers!H58="","",JHers!H58),"")</f>
        <v>Global Equity Income strategies</v>
      </c>
      <c r="I204" t="str">
        <f>IFERROR(IF(JHers!I58="","",JHers!I58),"")</f>
        <v>NO_DATO</v>
      </c>
      <c r="J204" t="str">
        <f>IFERROR(IF(JHers!J58="","",JHers!J58),"")</f>
        <v>https://www.janushenderson.com/en-hk/investor/bio/faizan-baig-cfa/</v>
      </c>
      <c r="K204" t="str">
        <f>IFERROR(IF(JHers!K58="","",JHers!K58),"")</f>
        <v>NO_DATO</v>
      </c>
    </row>
    <row r="205" spans="1:11" x14ac:dyDescent="0.3">
      <c r="A205" t="str">
        <f>IFERROR(IF(JHers!A59="","",JHers!A59),"")</f>
        <v>Federico Borin</v>
      </c>
      <c r="B205" t="str">
        <f>IFERROR(IF(JHers!B59="","",JHers!B59),"")</f>
        <v>Research Analyst</v>
      </c>
      <c r="C205" t="str">
        <f>IFERROR(IF(JHers!C59="","",JHers!C59),"")</f>
        <v>Analista</v>
      </c>
      <c r="D205" t="str">
        <f>IFERROR(IF(JHers!D59="","",JHers!D59),"")</f>
        <v>Renta variable</v>
      </c>
      <c r="E205" t="str">
        <f>IFERROR(IF(JHers!E59="","",JHers!E59),"")</f>
        <v>European equities</v>
      </c>
      <c r="F205" t="str">
        <f>IFERROR(IF(JHers!F59="","",JHers!F59),"")</f>
        <v>Europa</v>
      </c>
      <c r="G205" t="str">
        <f>IFERROR(IF(JHers!G59="","",JHers!G59),"")</f>
        <v>Renta variable europea</v>
      </c>
      <c r="H205" t="str">
        <f>IFERROR(IF(JHers!H59="","",JHers!H59),"")</f>
        <v>European Equities strategies</v>
      </c>
      <c r="I205" t="str">
        <f>IFERROR(IF(JHers!I59="","",JHers!I59),"")</f>
        <v>NO_DATO</v>
      </c>
      <c r="J205" t="str">
        <f>IFERROR(IF(JHers!J59="","",JHers!J59),"")</f>
        <v>https://www.janushenderson.com/en-se/investor/bio/federico-borin/</v>
      </c>
      <c r="K205" t="str">
        <f>IFERROR(IF(JHers!K59="","",JHers!K59),"")</f>
        <v>NO_DATO</v>
      </c>
    </row>
    <row r="206" spans="1:11" x14ac:dyDescent="0.3">
      <c r="A206" t="str">
        <f>IFERROR(IF(JHers!A60="","",JHers!A60),"")</f>
        <v>Fei Wang, CFA, CAIA</v>
      </c>
      <c r="B206" t="str">
        <f>IFERROR(IF(JHers!B60="","",JHers!B60),"")</f>
        <v>Portfolio Manager</v>
      </c>
      <c r="C206" t="str">
        <f>IFERROR(IF(JHers!C60="","",JHers!C60),"")</f>
        <v>Portfolio Manager</v>
      </c>
      <c r="D206" t="str">
        <f>IFERROR(IF(JHers!D60="","",JHers!D60),"")</f>
        <v>Alternativos</v>
      </c>
      <c r="E206" t="str">
        <f>IFERROR(IF(JHers!E60="","",JHers!E60),"")</f>
        <v>Multi-strategy equity, diversified alternatives</v>
      </c>
      <c r="F206" t="str">
        <f>IFERROR(IF(JHers!F60="","",JHers!F60),"")</f>
        <v>Global</v>
      </c>
      <c r="G206" t="str">
        <f>IFERROR(IF(JHers!G60="","",JHers!G60),"")</f>
        <v>Alternativos líquidos / equity derivatives</v>
      </c>
      <c r="H206" t="str">
        <f>IFERROR(IF(JHers!H60="","",JHers!H60),"")</f>
        <v>Multi-Strategy Equity, Diversified Alternatives</v>
      </c>
      <c r="I206" t="str">
        <f>IFERROR(IF(JHers!I60="","",JHers!I60),"")</f>
        <v>NO_DATO</v>
      </c>
      <c r="J206" t="str">
        <f>IFERROR(IF(JHers!J60="","",JHers!J60),"")</f>
        <v>https://www.janushenderson.com/corporate/bio/fei-wang-cfa/</v>
      </c>
      <c r="K206" t="str">
        <f>IFERROR(IF(JHers!K60="","",JHers!K60),"")</f>
        <v>NO_DATO</v>
      </c>
    </row>
    <row r="207" spans="1:11" x14ac:dyDescent="0.3">
      <c r="A207" t="str">
        <f>IFERROR(IF(JHers!A61="","",JHers!A61),"")</f>
        <v>Fran Radano, CFA</v>
      </c>
      <c r="B207" t="str">
        <f>IFERROR(IF(JHers!B61="","",JHers!B61),"")</f>
        <v>Portfolio Manager</v>
      </c>
      <c r="C207" t="str">
        <f>IFERROR(IF(JHers!C61="","",JHers!C61),"")</f>
        <v>Portfolio Manager</v>
      </c>
      <c r="D207" t="str">
        <f>IFERROR(IF(JHers!D61="","",JHers!D61),"")</f>
        <v>Renta variable</v>
      </c>
      <c r="E207" t="str">
        <f>IFERROR(IF(JHers!E61="","",JHers!E61),"")</f>
        <v>North American equity income</v>
      </c>
      <c r="F207" t="str">
        <f>IFERROR(IF(JHers!F61="","",JHers!F61),"")</f>
        <v>Norteamérica</v>
      </c>
      <c r="G207" t="str">
        <f>IFERROR(IF(JHers!G61="","",JHers!G61),"")</f>
        <v>Renta variable de dividendo en Norteamérica</v>
      </c>
      <c r="H207" t="str">
        <f>IFERROR(IF(JHers!H61="","",JHers!H61),"")</f>
        <v>North American Income strategies</v>
      </c>
      <c r="I207" t="str">
        <f>IFERROR(IF(JHers!I61="","",JHers!I61),"")</f>
        <v>NO_DATO</v>
      </c>
      <c r="J207" t="str">
        <f>IFERROR(IF(JHers!J61="","",JHers!J61),"")</f>
        <v>https://www.janushenderson.com/en-us/advisor/bio/fran-radano-cfa/</v>
      </c>
      <c r="K207" t="str">
        <f>IFERROR(IF(JHers!K61="","",JHers!K61),"")</f>
        <v>NO_DATO</v>
      </c>
    </row>
    <row r="208" spans="1:11" x14ac:dyDescent="0.3">
      <c r="A208" t="str">
        <f>IFERROR(IF(JHers!A62="","",JHers!A62),"")</f>
        <v>Garrett Strum</v>
      </c>
      <c r="B208" t="str">
        <f>IFERROR(IF(JHers!B62="","",JHers!B62),"")</f>
        <v>Portfolio Manager | Money Market Analyst</v>
      </c>
      <c r="C208" t="str">
        <f>IFERROR(IF(JHers!C62="","",JHers!C62),"")</f>
        <v>Portfolio Manager</v>
      </c>
      <c r="D208" t="str">
        <f>IFERROR(IF(JHers!D62="","",JHers!D62),"")</f>
        <v>Renta fija</v>
      </c>
      <c r="E208" t="str">
        <f>IFERROR(IF(JHers!E62="","",JHers!E62),"")</f>
        <v>Money market / cash management</v>
      </c>
      <c r="F208" t="str">
        <f>IFERROR(IF(JHers!F62="","",JHers!F62),"")</f>
        <v>Global</v>
      </c>
      <c r="G208" t="str">
        <f>IFERROR(IF(JHers!G62="","",JHers!G62),"")</f>
        <v>Mercado monetario / liquidez</v>
      </c>
      <c r="H208" t="str">
        <f>IFERROR(IF(JHers!H62="","",JHers!H62),"")</f>
        <v>Money Market strategies</v>
      </c>
      <c r="I208" t="str">
        <f>IFERROR(IF(JHers!I62="","",JHers!I62),"")</f>
        <v>NO_DATO</v>
      </c>
      <c r="J208" t="str">
        <f>IFERROR(IF(JHers!J62="","",JHers!J62),"")</f>
        <v>https://www.janushenderson.com/corporate/bio/garrett-strum/</v>
      </c>
      <c r="K208" t="str">
        <f>IFERROR(IF(JHers!K62="","",JHers!K62),"")</f>
        <v>NO_DATO</v>
      </c>
    </row>
    <row r="209" spans="1:11" x14ac:dyDescent="0.3">
      <c r="A209" t="str">
        <f>IFERROR(IF(JHers!A63="","",JHers!A63),"")</f>
        <v>Georgina Fogo</v>
      </c>
      <c r="B209" t="str">
        <f>IFERROR(IF(JHers!B63="","",JHers!B63),"")</f>
        <v>Chief Risk Officer</v>
      </c>
      <c r="C209" t="str">
        <f>IFERROR(IF(JHers!C63="","",JHers!C63),"")</f>
        <v>Otro</v>
      </c>
      <c r="D209" t="str">
        <f>IFERROR(IF(JHers!D63="","",JHers!D63),"")</f>
        <v>Perfil ejecutivo</v>
      </c>
      <c r="E209" t="str">
        <f>IFERROR(IF(JHers!E63="","",JHers!E63),"")</f>
        <v>Riesgo y cumplimiento global</v>
      </c>
      <c r="F209" t="str">
        <f>IFERROR(IF(JHers!F63="","",JHers!F63),"")</f>
        <v>Global</v>
      </c>
      <c r="G209" t="str">
        <f>IFERROR(IF(JHers!G63="","",JHers!G63),"")</f>
        <v>Gestión de riesgos / regulación</v>
      </c>
      <c r="H209" t="str">
        <f>IFERROR(IF(JHers!H63="","",JHers!H63),"")</f>
        <v>NO_DATO</v>
      </c>
      <c r="I209" t="str">
        <f>IFERROR(IF(JHers!I63="","",JHers!I63),"")</f>
        <v>NO_DATO</v>
      </c>
      <c r="J209" t="str">
        <f>IFERROR(IF(JHers!J63="","",JHers!J63),"")</f>
        <v>https://www.janushenderson.com/en-us/investor/bio/georgina-fogo/</v>
      </c>
      <c r="K209" t="str">
        <f>IFERROR(IF(JHers!K63="","",JHers!K63),"")</f>
        <v>NO_DATO</v>
      </c>
    </row>
    <row r="210" spans="1:11" x14ac:dyDescent="0.3">
      <c r="A210" t="str">
        <f>IFERROR(IF(JHers!A64="","",JHers!A64),"")</f>
        <v>Graeme Clark</v>
      </c>
      <c r="B210" t="str">
        <f>IFERROR(IF(JHers!B64="","",JHers!B64),"")</f>
        <v>Portfolio Manager</v>
      </c>
      <c r="C210" t="str">
        <f>IFERROR(IF(JHers!C64="","",JHers!C64),"")</f>
        <v>Portfolio Manager</v>
      </c>
      <c r="D210" t="str">
        <f>IFERROR(IF(JHers!D64="","",JHers!D64),"")</f>
        <v>Renta variable</v>
      </c>
      <c r="E210" t="str">
        <f>IFERROR(IF(JHers!E64="","",JHers!E64),"")</f>
        <v>Global technology equities</v>
      </c>
      <c r="F210" t="str">
        <f>IFERROR(IF(JHers!F64="","",JHers!F64),"")</f>
        <v>Global</v>
      </c>
      <c r="G210" t="str">
        <f>IFERROR(IF(JHers!G64="","",JHers!G64),"")</f>
        <v>Tecnología</v>
      </c>
      <c r="H210" t="str">
        <f>IFERROR(IF(JHers!H64="","",JHers!H64),"")</f>
        <v>Global Technology Leaders strategies</v>
      </c>
      <c r="I210" t="str">
        <f>IFERROR(IF(JHers!I64="","",JHers!I64),"")</f>
        <v>NO_DATO</v>
      </c>
      <c r="J210" t="str">
        <f>IFERROR(IF(JHers!J64="","",JHers!J64),"")</f>
        <v>https://www.janushenderson.com/en-hk/investor/bio/graeme-clark/</v>
      </c>
      <c r="K210" t="str">
        <f>IFERROR(IF(JHers!K64="","",JHers!K64),"")</f>
        <v>NO_DATO</v>
      </c>
    </row>
    <row r="211" spans="1:11" x14ac:dyDescent="0.3">
      <c r="A211" t="str">
        <f>IFERROR(IF(JHers!A65="","",JHers!A65),"")</f>
        <v>Greg Kuhl, CFA</v>
      </c>
      <c r="B211" t="str">
        <f>IFERROR(IF(JHers!B65="","",JHers!B65),"")</f>
        <v>Portfolio Manager</v>
      </c>
      <c r="C211" t="str">
        <f>IFERROR(IF(JHers!C65="","",JHers!C65),"")</f>
        <v>Portfolio Manager</v>
      </c>
      <c r="D211" t="str">
        <f>IFERROR(IF(JHers!D65="","",JHers!D65),"")</f>
        <v>Renta variable</v>
      </c>
      <c r="E211" t="str">
        <f>IFERROR(IF(JHers!E65="","",JHers!E65),"")</f>
        <v>Global property equities</v>
      </c>
      <c r="F211" t="str">
        <f>IFERROR(IF(JHers!F65="","",JHers!F65),"")</f>
        <v>Global</v>
      </c>
      <c r="G211" t="str">
        <f>IFERROR(IF(JHers!G65="","",JHers!G65),"")</f>
        <v>Inmobiliario cotizado global</v>
      </c>
      <c r="H211" t="str">
        <f>IFERROR(IF(JHers!H65="","",JHers!H65),"")</f>
        <v>Global Property Equities strategies</v>
      </c>
      <c r="I211" t="str">
        <f>IFERROR(IF(JHers!I65="","",JHers!I65),"")</f>
        <v>NO_DATO</v>
      </c>
      <c r="J211" t="str">
        <f>IFERROR(IF(JHers!J65="","",JHers!J65),"")</f>
        <v>https://www.janushenderson.com/corporate/bio/greg-kuhl-cfa/</v>
      </c>
      <c r="K211" t="str">
        <f>IFERROR(IF(JHers!K65="","",JHers!K65),"")</f>
        <v>NO_DATO</v>
      </c>
    </row>
    <row r="212" spans="1:11" x14ac:dyDescent="0.3">
      <c r="A212" t="str">
        <f>IFERROR(IF(JHers!A66="","",JHers!A66),"")</f>
        <v>Guy Barnard, CFA</v>
      </c>
      <c r="B212" t="str">
        <f>IFERROR(IF(JHers!B66="","",JHers!B66),"")</f>
        <v>Co-Head of Global Property Equities | Portfolio Manager</v>
      </c>
      <c r="C212" t="str">
        <f>IFERROR(IF(JHers!C66="","",JHers!C66),"")</f>
        <v>Portfolio Manager</v>
      </c>
      <c r="D212" t="str">
        <f>IFERROR(IF(JHers!D66="","",JHers!D66),"")</f>
        <v>Renta variable</v>
      </c>
      <c r="E212" t="str">
        <f>IFERROR(IF(JHers!E66="","",JHers!E66),"")</f>
        <v>Global property equities</v>
      </c>
      <c r="F212" t="str">
        <f>IFERROR(IF(JHers!F66="","",JHers!F66),"")</f>
        <v>Global</v>
      </c>
      <c r="G212" t="str">
        <f>IFERROR(IF(JHers!G66="","",JHers!G66),"")</f>
        <v>Inmobiliario cotizado global</v>
      </c>
      <c r="H212" t="str">
        <f>IFERROR(IF(JHers!H66="","",JHers!H66),"")</f>
        <v>Global Property Equities strategies</v>
      </c>
      <c r="I212" t="str">
        <f>IFERROR(IF(JHers!I66="","",JHers!I66),"")</f>
        <v>NO_DATO</v>
      </c>
      <c r="J212" t="str">
        <f>IFERROR(IF(JHers!J66="","",JHers!J66),"")</f>
        <v>https://www.janushenderson.com/en-us/offshore/bio/guy-barnard/</v>
      </c>
      <c r="K212" t="str">
        <f>IFERROR(IF(JHers!K66="","",JHers!K66),"")</f>
        <v>NO_DATO</v>
      </c>
    </row>
    <row r="213" spans="1:11" x14ac:dyDescent="0.3">
      <c r="A213" t="str">
        <f>IFERROR(IF(JHers!A67="","",JHers!A67),"")</f>
        <v>Ian Bettney</v>
      </c>
      <c r="B213" t="str">
        <f>IFERROR(IF(JHers!B67="","",JHers!B67),"")</f>
        <v>Portfolio Manager</v>
      </c>
      <c r="C213" t="str">
        <f>IFERROR(IF(JHers!C67="","",JHers!C67),"")</f>
        <v>Portfolio Manager</v>
      </c>
      <c r="D213" t="str">
        <f>IFERROR(IF(JHers!D67="","",JHers!D67),"")</f>
        <v>Renta fija</v>
      </c>
      <c r="E213" t="str">
        <f>IFERROR(IF(JHers!E67="","",JHers!E67),"")</f>
        <v>ABS / secured credit</v>
      </c>
      <c r="F213" t="str">
        <f>IFERROR(IF(JHers!F67="","",JHers!F67),"")</f>
        <v>Global</v>
      </c>
      <c r="G213" t="str">
        <f>IFERROR(IF(JHers!G67="","",JHers!G67),"")</f>
        <v>Crédito titulizado / ABS</v>
      </c>
      <c r="H213" t="str">
        <f>IFERROR(IF(JHers!H67="","",JHers!H67),"")</f>
        <v>Secured Credit strategies</v>
      </c>
      <c r="I213" t="str">
        <f>IFERROR(IF(JHers!I67="","",JHers!I67),"")</f>
        <v>NO_DATO</v>
      </c>
      <c r="J213" t="str">
        <f>IFERROR(IF(JHers!J67="","",JHers!J67),"")</f>
        <v>https://www.linkedin.com/in/ian-bettney-4a2b1024</v>
      </c>
      <c r="K213" t="str">
        <f>IFERROR(IF(JHers!K67="","",JHers!K67),"")</f>
        <v>NO_DATO</v>
      </c>
    </row>
    <row r="214" spans="1:11" x14ac:dyDescent="0.3">
      <c r="A214" t="str">
        <f>IFERROR(IF(JHers!A68="","",JHers!A68),"")</f>
        <v>Ignacio De La Maza</v>
      </c>
      <c r="B214" t="str">
        <f>IFERROR(IF(JHers!B68="","",JHers!B68),"")</f>
        <v>Head of EMEA &amp; LatAm Client Group</v>
      </c>
      <c r="C214" t="str">
        <f>IFERROR(IF(JHers!C68="","",JHers!C68),"")</f>
        <v>Otro</v>
      </c>
      <c r="D214" t="str">
        <f>IFERROR(IF(JHers!D68="","",JHers!D68),"")</f>
        <v>Perfil ejecutivo</v>
      </c>
      <c r="E214" t="str">
        <f>IFERROR(IF(JHers!E68="","",JHers!E68),"")</f>
        <v>Distribución y negocio institucional EMEA &amp; LatAm</v>
      </c>
      <c r="F214" t="str">
        <f>IFERROR(IF(JHers!F68="","",JHers!F68),"")</f>
        <v>Europa / Latinoamérica</v>
      </c>
      <c r="G214" t="str">
        <f>IFERROR(IF(JHers!G68="","",JHers!G68),"")</f>
        <v>Relación con clientes / ventas institucionales</v>
      </c>
      <c r="H214" t="str">
        <f>IFERROR(IF(JHers!H68="","",JHers!H68),"")</f>
        <v>NO_DATO</v>
      </c>
      <c r="I214" t="str">
        <f>IFERROR(IF(JHers!I68="","",JHers!I68),"")</f>
        <v>NO_DATO</v>
      </c>
      <c r="J214" t="str">
        <f>IFERROR(IF(JHers!J68="","",JHers!J68),"")</f>
        <v>https://www.janushenderson.com/es-es/investor/bio/ignacio-de-la-maza/</v>
      </c>
      <c r="K214" t="str">
        <f>IFERROR(IF(JHers!K68="","",JHers!K68),"")</f>
        <v>NO_DATO</v>
      </c>
    </row>
    <row r="215" spans="1:11" x14ac:dyDescent="0.3">
      <c r="A215" t="str">
        <f>IFERROR(IF(JHers!A69="","",JHers!A69),"")</f>
        <v>Indriatti van Hien, ACA, CFA</v>
      </c>
      <c r="B215" t="str">
        <f>IFERROR(IF(JHers!B69="","",JHers!B69),"")</f>
        <v>Portfolio Manager</v>
      </c>
      <c r="C215" t="str">
        <f>IFERROR(IF(JHers!C69="","",JHers!C69),"")</f>
        <v>Portfolio Manager</v>
      </c>
      <c r="D215" t="str">
        <f>IFERROR(IF(JHers!D69="","",JHers!D69),"")</f>
        <v>Renta variable</v>
      </c>
      <c r="E215" t="str">
        <f>IFERROR(IF(JHers!E69="","",JHers!E69),"")</f>
        <v>UK equities</v>
      </c>
      <c r="F215" t="str">
        <f>IFERROR(IF(JHers!F69="","",JHers!F69),"")</f>
        <v>Reino Unido</v>
      </c>
      <c r="G215" t="str">
        <f>IFERROR(IF(JHers!G69="","",JHers!G69),"")</f>
        <v>Renta variable británica / income &amp; alpha</v>
      </c>
      <c r="H215" t="str">
        <f>IFERROR(IF(JHers!H69="","",JHers!H69),"")</f>
        <v>UK Equity &amp; UK Alpha strategies</v>
      </c>
      <c r="I215" t="str">
        <f>IFERROR(IF(JHers!I69="","",JHers!I69),"")</f>
        <v>NO_DATO</v>
      </c>
      <c r="J215" t="str">
        <f>IFERROR(IF(JHers!J69="","",JHers!J69),"")</f>
        <v>https://www.janushenderson.com/en-gb/investor/bio/indriatti-van-hien-aca-cfa/</v>
      </c>
      <c r="K215" t="str">
        <f>IFERROR(IF(JHers!K69="","",JHers!K69),"")</f>
        <v>NO_DATO</v>
      </c>
    </row>
    <row r="216" spans="1:11" x14ac:dyDescent="0.3">
      <c r="A216" t="str">
        <f>IFERROR(IF(JHers!A70="","",JHers!A70),"")</f>
        <v>Jacob Ellinge Nielsen</v>
      </c>
      <c r="B216" t="str">
        <f>IFERROR(IF(JHers!B70="","",JHers!B70),"")</f>
        <v>Portfolio Manager</v>
      </c>
      <c r="C216" t="str">
        <f>IFERROR(IF(JHers!C70="","",JHers!C70),"")</f>
        <v>Portfolio Manager</v>
      </c>
      <c r="D216" t="str">
        <f>IFERROR(IF(JHers!D70="","",JHers!D70),"")</f>
        <v>Renta fija</v>
      </c>
      <c r="E216" t="str">
        <f>IFERROR(IF(JHers!E70="","",JHers!E70),"")</f>
        <v>Emerging Markets Debt Hard Currency</v>
      </c>
      <c r="F216" t="str">
        <f>IFERROR(IF(JHers!F70="","",JHers!F70),"")</f>
        <v>Mercados emergentes</v>
      </c>
      <c r="G216" t="str">
        <f>IFERROR(IF(JHers!G70="","",JHers!G70),"")</f>
        <v>Deuda emergente en divisa fuerte</v>
      </c>
      <c r="H216" t="str">
        <f>IFERROR(IF(JHers!H70="","",JHers!H70),"")</f>
        <v>EMD Hard Currency strategies</v>
      </c>
      <c r="I216" t="str">
        <f>IFERROR(IF(JHers!I70="","",JHers!I70),"")</f>
        <v>NO_DATO</v>
      </c>
      <c r="J216" t="str">
        <f>IFERROR(IF(JHers!J70="","",JHers!J70),"")</f>
        <v>https://www.janushenderson.com/en-us/institutional/bio/jacob-ellinge-nielsen/</v>
      </c>
      <c r="K216" t="str">
        <f>IFERROR(IF(JHers!K70="","",JHers!K70),"")</f>
        <v>NO_DATO</v>
      </c>
    </row>
    <row r="217" spans="1:11" x14ac:dyDescent="0.3">
      <c r="A217" t="str">
        <f>IFERROR(IF(JHers!A71="","",JHers!A71),"")</f>
        <v>James de Bunsen, CFA</v>
      </c>
      <c r="B217" t="str">
        <f>IFERROR(IF(JHers!B71="","",JHers!B71),"")</f>
        <v>Portfolio Manager</v>
      </c>
      <c r="C217" t="str">
        <f>IFERROR(IF(JHers!C71="","",JHers!C71),"")</f>
        <v>Portfolio Manager</v>
      </c>
      <c r="D217" t="str">
        <f>IFERROR(IF(JHers!D71="","",JHers!D71),"")</f>
        <v>Multiactivo</v>
      </c>
      <c r="E217" t="str">
        <f>IFERROR(IF(JHers!E71="","",JHers!E71),"")</f>
        <v>Multi-asset &amp; alternatives</v>
      </c>
      <c r="F217" t="str">
        <f>IFERROR(IF(JHers!F71="","",JHers!F71),"")</f>
        <v>Global</v>
      </c>
      <c r="G217" t="str">
        <f>IFERROR(IF(JHers!G71="","",JHers!G71),"")</f>
        <v>Multiactivo con alternativos / retorno absoluto</v>
      </c>
      <c r="H217" t="str">
        <f>IFERROR(IF(JHers!H71="","",JHers!H71),"")</f>
        <v>Diversified Alternatives &amp; Multi-Asset Absolute Return funds</v>
      </c>
      <c r="I217" t="str">
        <f>IFERROR(IF(JHers!I71="","",JHers!I71),"")</f>
        <v>NO_DATO</v>
      </c>
      <c r="J217" t="str">
        <f>IFERROR(IF(JHers!J71="","",JHers!J71),"")</f>
        <v>https://www.janushenderson.com/en-us/offshore/bio/james-de-bunsen/</v>
      </c>
      <c r="K217" t="str">
        <f>IFERROR(IF(JHers!K71="","",JHers!K71),"")</f>
        <v>NO_DATO</v>
      </c>
    </row>
    <row r="218" spans="1:11" x14ac:dyDescent="0.3">
      <c r="A218" t="str">
        <f>IFERROR(IF(JHers!A72="","",JHers!A72),"")</f>
        <v>James Henderson</v>
      </c>
      <c r="B218" t="str">
        <f>IFERROR(IF(JHers!B72="","",JHers!B72),"")</f>
        <v>Portfolio Manager</v>
      </c>
      <c r="C218" t="str">
        <f>IFERROR(IF(JHers!C72="","",JHers!C72),"")</f>
        <v>Portfolio Manager</v>
      </c>
      <c r="D218" t="str">
        <f>IFERROR(IF(JHers!D72="","",JHers!D72),"")</f>
        <v>Renta variable</v>
      </c>
      <c r="E218" t="str">
        <f>IFERROR(IF(JHers!E72="","",JHers!E72),"")</f>
        <v>Global &amp; UK equity income</v>
      </c>
      <c r="F218" t="str">
        <f>IFERROR(IF(JHers!F72="","",JHers!F72),"")</f>
        <v>Reino Unido / Global</v>
      </c>
      <c r="G218" t="str">
        <f>IFERROR(IF(JHers!G72="","",JHers!G72),"")</f>
        <v>Renta variable de dividendo / income</v>
      </c>
      <c r="H218" t="str">
        <f>IFERROR(IF(JHers!H72="","",JHers!H72),"")</f>
        <v>Global Equity Income &amp; UK Equity Income strategies</v>
      </c>
      <c r="I218" t="str">
        <f>IFERROR(IF(JHers!I72="","",JHers!I72),"")</f>
        <v>NO_DATO</v>
      </c>
      <c r="J218" t="str">
        <f>IFERROR(IF(JHers!J72="","",JHers!J72),"")</f>
        <v>https://www.janushenderson.com/en-be/advisor/bio/james-henderson/</v>
      </c>
      <c r="K218" t="str">
        <f>IFERROR(IF(JHers!K72="","",JHers!K72),"")</f>
        <v>NO_DATO</v>
      </c>
    </row>
    <row r="219" spans="1:11" x14ac:dyDescent="0.3">
      <c r="A219" t="str">
        <f>IFERROR(IF(JHers!A73="","",JHers!A73),"")</f>
        <v>Jamie Sandells, PhD</v>
      </c>
      <c r="B219" t="str">
        <f>IFERROR(IF(JHers!B73="","",JHers!B73),"")</f>
        <v>Portfolio Manager</v>
      </c>
      <c r="C219" t="str">
        <f>IFERROR(IF(JHers!C73="","",JHers!C73),"")</f>
        <v>Portfolio Manager</v>
      </c>
      <c r="D219" t="str">
        <f>IFERROR(IF(JHers!D73="","",JHers!D73),"")</f>
        <v>Alternativos</v>
      </c>
      <c r="E219" t="str">
        <f>IFERROR(IF(JHers!E73="","",JHers!E73),"")</f>
        <v>Structured income / equity-linked ETFs</v>
      </c>
      <c r="F219" t="str">
        <f>IFERROR(IF(JHers!F73="","",JHers!F73),"")</f>
        <v>Global</v>
      </c>
      <c r="G219" t="str">
        <f>IFERROR(IF(JHers!G73="","",JHers!G73),"")</f>
        <v>Alternativos / income estructurado</v>
      </c>
      <c r="H219" t="str">
        <f>IFERROR(IF(JHers!H73="","",JHers!H73),"")</f>
        <v>Structured Income ETF strategies (JELH, JELM)</v>
      </c>
      <c r="I219" t="str">
        <f>IFERROR(IF(JHers!I73="","",JHers!I73),"")</f>
        <v>NO_DATO</v>
      </c>
      <c r="J219" t="str">
        <f>IFERROR(IF(JHers!J73="","",JHers!J73),"")</f>
        <v>NO_DATO</v>
      </c>
      <c r="K219" t="str">
        <f>IFERROR(IF(JHers!K73="","",JHers!K73),"")</f>
        <v>NO_DATO</v>
      </c>
    </row>
    <row r="220" spans="1:11" x14ac:dyDescent="0.3">
      <c r="A220" t="str">
        <f>IFERROR(IF(JHers!A74="","",JHers!A74),"")</f>
        <v>Jay Sivapalan, CFA</v>
      </c>
      <c r="B220" t="str">
        <f>IFERROR(IF(JHers!B74="","",JHers!B74),"")</f>
        <v>Head of Australian Fixed Interest | Portfolio Manager</v>
      </c>
      <c r="C220" t="str">
        <f>IFERROR(IF(JHers!C74="","",JHers!C74),"")</f>
        <v>Portfolio Manager</v>
      </c>
      <c r="D220" t="str">
        <f>IFERROR(IF(JHers!D74="","",JHers!D74),"")</f>
        <v>Renta fija</v>
      </c>
      <c r="E220" t="str">
        <f>IFERROR(IF(JHers!E74="","",JHers!E74),"")</f>
        <v>Australian fixed interest</v>
      </c>
      <c r="F220" t="str">
        <f>IFERROR(IF(JHers!F74="","",JHers!F74),"")</f>
        <v>Australia</v>
      </c>
      <c r="G220" t="str">
        <f>IFERROR(IF(JHers!G74="","",JHers!G74),"")</f>
        <v>Renta fija australiana / tipos y crédito</v>
      </c>
      <c r="H220" t="str">
        <f>IFERROR(IF(JHers!H74="","",JHers!H74),"")</f>
        <v>Australian Fixed Interest strategies</v>
      </c>
      <c r="I220" t="str">
        <f>IFERROR(IF(JHers!I74="","",JHers!I74),"")</f>
        <v>NO_DATO</v>
      </c>
      <c r="J220" t="str">
        <f>IFERROR(IF(JHers!J74="","",JHers!J74),"")</f>
        <v>https://www.janushenderson.com/en-au/investor/bio/jay-sivapalan-cfa/</v>
      </c>
      <c r="K220" t="str">
        <f>IFERROR(IF(JHers!K74="","",JHers!K74),"")</f>
        <v>NO_DATO</v>
      </c>
    </row>
    <row r="221" spans="1:11" x14ac:dyDescent="0.3">
      <c r="A221" t="str">
        <f>IFERROR(IF(JHers!A75="","",JHers!A75),"")</f>
        <v>Jenna Barnard, CFA</v>
      </c>
      <c r="B221" t="str">
        <f>IFERROR(IF(JHers!B75="","",JHers!B75),"")</f>
        <v>Head of Global Bonds | Portfolio Manager</v>
      </c>
      <c r="C221" t="str">
        <f>IFERROR(IF(JHers!C75="","",JHers!C75),"")</f>
        <v>Portfolio Manager</v>
      </c>
      <c r="D221" t="str">
        <f>IFERROR(IF(JHers!D75="","",JHers!D75),"")</f>
        <v>Renta fija</v>
      </c>
      <c r="E221" t="str">
        <f>IFERROR(IF(JHers!E75="","",JHers!E75),"")</f>
        <v>Global bonds / strategic bond</v>
      </c>
      <c r="F221" t="str">
        <f>IFERROR(IF(JHers!F75="","",JHers!F75),"")</f>
        <v>Global</v>
      </c>
      <c r="G221" t="str">
        <f>IFERROR(IF(JHers!G75="","",JHers!G75),"")</f>
        <v>Bonos globales / renta fija flexible</v>
      </c>
      <c r="H221" t="str">
        <f>IFERROR(IF(JHers!H75="","",JHers!H75),"")</f>
        <v>Strategic Bond y Global Bond strategies</v>
      </c>
      <c r="I221" t="str">
        <f>IFERROR(IF(JHers!I75="","",JHers!I75),"")</f>
        <v>NO_DATO</v>
      </c>
      <c r="J221" t="str">
        <f>IFERROR(IF(JHers!J75="","",JHers!J75),"")</f>
        <v>https://www.janushenderson.com/en-gb/investor/bio/jenna-barnard-cfa/</v>
      </c>
      <c r="K221" t="str">
        <f>IFERROR(IF(JHers!K75="","",JHers!K75),"")</f>
        <v>NO_DATO</v>
      </c>
    </row>
    <row r="222" spans="1:11" x14ac:dyDescent="0.3">
      <c r="A222" t="str">
        <f>IFERROR(IF(JHers!A76="","",JHers!A76),"")</f>
        <v>Jeremiah Buckley, CFA</v>
      </c>
      <c r="B222" t="str">
        <f>IFERROR(IF(JHers!B76="","",JHers!B76),"")</f>
        <v>Portfolio Manager</v>
      </c>
      <c r="C222" t="str">
        <f>IFERROR(IF(JHers!C76="","",JHers!C76),"")</f>
        <v>Portfolio Manager</v>
      </c>
      <c r="D222" t="str">
        <f>IFERROR(IF(JHers!D76="","",JHers!D76),"")</f>
        <v>Renta variable</v>
      </c>
      <c r="E222" t="str">
        <f>IFERROR(IF(JHers!E76="","",JHers!E76),"")</f>
        <v>US multi-sector large-cap equities</v>
      </c>
      <c r="F222" t="str">
        <f>IFERROR(IF(JHers!F76="","",JHers!F76),"")</f>
        <v>Estados Unidos</v>
      </c>
      <c r="G222" t="str">
        <f>IFERROR(IF(JHers!G76="","",JHers!G76),"")</f>
        <v>Renta variable estadounidense multitemática / balanced</v>
      </c>
      <c r="H222" t="str">
        <f>IFERROR(IF(JHers!H76="","",JHers!H76),"")</f>
        <v>US Growth &amp; Balanced strategies</v>
      </c>
      <c r="I222" t="str">
        <f>IFERROR(IF(JHers!I76="","",JHers!I76),"")</f>
        <v>NO_DATO</v>
      </c>
      <c r="J222" t="str">
        <f>IFERROR(IF(JHers!J76="","",JHers!J76),"")</f>
        <v>https://www.janushenderson.com/en-us/advisor/bio/jeremiah-buckley/</v>
      </c>
      <c r="K222" t="str">
        <f>IFERROR(IF(JHers!K76="","",JHers!K76),"")</f>
        <v>NO_DATO</v>
      </c>
    </row>
    <row r="223" spans="1:11" x14ac:dyDescent="0.3">
      <c r="A223" t="str">
        <f>IFERROR(IF(JHers!A77="","",JHers!A77),"")</f>
        <v>Jeremy Tjaden, CFA</v>
      </c>
      <c r="B223" t="str">
        <f>IFERROR(IF(JHers!B77="","",JHers!B77),"")</f>
        <v>Portfolio Manager | Analyst | Quantitative Solutions</v>
      </c>
      <c r="C223" t="str">
        <f>IFERROR(IF(JHers!C77="","",JHers!C77),"")</f>
        <v>Portfolio Manager</v>
      </c>
      <c r="D223" t="str">
        <f>IFERROR(IF(JHers!D77="","",JHers!D77),"")</f>
        <v>Renta variable</v>
      </c>
      <c r="E223" t="str">
        <f>IFERROR(IF(JHers!E77="","",JHers!E77),"")</f>
        <v>Quantitative equity solutions</v>
      </c>
      <c r="F223" t="str">
        <f>IFERROR(IF(JHers!F77="","",JHers!F77),"")</f>
        <v>Global</v>
      </c>
      <c r="G223" t="str">
        <f>IFERROR(IF(JHers!G77="","",JHers!G77),"")</f>
        <v>Renta variable cuantitativa / indexada</v>
      </c>
      <c r="H223" t="str">
        <f>IFERROR(IF(JHers!H77="","",JHers!H77),"")</f>
        <v>Quantitative Solutions strategies</v>
      </c>
      <c r="I223" t="str">
        <f>IFERROR(IF(JHers!I77="","",JHers!I77),"")</f>
        <v>NO_DATO</v>
      </c>
      <c r="J223" t="str">
        <f>IFERROR(IF(JHers!J77="","",JHers!J77),"")</f>
        <v>https://www.janushenderson.com/en-pt/advisor/bio/jeremy-tjaden-cfa/</v>
      </c>
      <c r="K223" t="str">
        <f>IFERROR(IF(JHers!K77="","",JHers!K77),"")</f>
        <v>NO_DATO</v>
      </c>
    </row>
    <row r="224" spans="1:11" x14ac:dyDescent="0.3">
      <c r="A224" t="str">
        <f>IFERROR(IF(JHers!A78="","",JHers!A78),"")</f>
        <v>Job Curtis, ASIP</v>
      </c>
      <c r="B224" t="str">
        <f>IFERROR(IF(JHers!B78="","",JHers!B78),"")</f>
        <v>Portfolio Manager</v>
      </c>
      <c r="C224" t="str">
        <f>IFERROR(IF(JHers!C78="","",JHers!C78),"")</f>
        <v>Portfolio Manager</v>
      </c>
      <c r="D224" t="str">
        <f>IFERROR(IF(JHers!D78="","",JHers!D78),"")</f>
        <v>Renta variable</v>
      </c>
      <c r="E224" t="str">
        <f>IFERROR(IF(JHers!E78="","",JHers!E78),"")</f>
        <v>UK &amp; global equity income</v>
      </c>
      <c r="F224" t="str">
        <f>IFERROR(IF(JHers!F78="","",JHers!F78),"")</f>
        <v>Reino Unido / Global</v>
      </c>
      <c r="G224" t="str">
        <f>IFERROR(IF(JHers!G78="","",JHers!G78),"")</f>
        <v>Renta variable de dividendo / income</v>
      </c>
      <c r="H224" t="str">
        <f>IFERROR(IF(JHers!H78="","",JHers!H78),"")</f>
        <v>City of London Investment Trust &amp; Global Equity Income strategies</v>
      </c>
      <c r="I224" t="str">
        <f>IFERROR(IF(JHers!I78="","",JHers!I78),"")</f>
        <v>NO_DATO</v>
      </c>
      <c r="J224" t="str">
        <f>IFERROR(IF(JHers!J78="","",JHers!J78),"")</f>
        <v>https://www.marketscreener.com/insider/JOB-CURTIS-A03P0E/</v>
      </c>
      <c r="K224" t="str">
        <f>IFERROR(IF(JHers!K78="","",JHers!K78),"")</f>
        <v>NO_DATO</v>
      </c>
    </row>
    <row r="225" spans="1:11" x14ac:dyDescent="0.3">
      <c r="A225" t="str">
        <f>IFERROR(IF(JHers!A79="","",JHers!A79),"")</f>
        <v>John Griffiths</v>
      </c>
      <c r="B225" t="str">
        <f>IFERROR(IF(JHers!B79="","",JHers!B79),"")</f>
        <v>Portfolio Manager</v>
      </c>
      <c r="C225" t="str">
        <f>IFERROR(IF(JHers!C79="","",JHers!C79),"")</f>
        <v>Portfolio Manager</v>
      </c>
      <c r="D225" t="str">
        <f>IFERROR(IF(JHers!D79="","",JHers!D79),"")</f>
        <v>Alternativos</v>
      </c>
      <c r="E225" t="str">
        <f>IFERROR(IF(JHers!E79="","",JHers!E79),"")</f>
        <v>Diversified alternatives / absolute return</v>
      </c>
      <c r="F225" t="str">
        <f>IFERROR(IF(JHers!F79="","",JHers!F79),"")</f>
        <v>Global</v>
      </c>
      <c r="G225" t="str">
        <f>IFERROR(IF(JHers!G79="","",JHers!G79),"")</f>
        <v>Alternativos líquidos / retorno absoluto</v>
      </c>
      <c r="H225" t="str">
        <f>IFERROR(IF(JHers!H79="","",JHers!H79),"")</f>
        <v>Diversified Alternatives strategies</v>
      </c>
      <c r="I225" t="str">
        <f>IFERROR(IF(JHers!I79="","",JHers!I79),"")</f>
        <v>NO_DATO</v>
      </c>
      <c r="J225" t="str">
        <f>IFERROR(IF(JHers!J79="","",JHers!J79),"")</f>
        <v>https://www.janushenderson.com/corporate/bio/john-griffiths/</v>
      </c>
      <c r="K225" t="str">
        <f>IFERROR(IF(JHers!K79="","",JHers!K79),"")</f>
        <v>NO_DATO</v>
      </c>
    </row>
    <row r="226" spans="1:11" x14ac:dyDescent="0.3">
      <c r="A226" t="str">
        <f>IFERROR(IF(JHers!A80="","",JHers!A80),"")</f>
        <v>John Jordan</v>
      </c>
      <c r="B226" t="str">
        <f>IFERROR(IF(JHers!B80="","",JHers!B80),"")</f>
        <v>Portfolio Manager | Research Analyst</v>
      </c>
      <c r="C226" t="str">
        <f>IFERROR(IF(JHers!C80="","",JHers!C80),"")</f>
        <v>Portfolio Manager + Analista</v>
      </c>
      <c r="D226" t="str">
        <f>IFERROR(IF(JHers!D80="","",JHers!D80),"")</f>
        <v>Renta variable</v>
      </c>
      <c r="E226" t="str">
        <f>IFERROR(IF(JHers!E80="","",JHers!E80),"")</f>
        <v>Global financials equities</v>
      </c>
      <c r="F226" t="str">
        <f>IFERROR(IF(JHers!F80="","",JHers!F80),"")</f>
        <v>Global</v>
      </c>
      <c r="G226" t="str">
        <f>IFERROR(IF(JHers!G80="","",JHers!G80),"")</f>
        <v>Sector financiero global</v>
      </c>
      <c r="H226" t="str">
        <f>IFERROR(IF(JHers!H80="","",JHers!H80),"")</f>
        <v>Global Financials strategies</v>
      </c>
      <c r="I226" t="str">
        <f>IFERROR(IF(JHers!I80="","",JHers!I80),"")</f>
        <v>NO_DATO</v>
      </c>
      <c r="J226" t="str">
        <f>IFERROR(IF(JHers!J80="","",JHers!J80),"")</f>
        <v>https://www.janushenderson.com/en-gb/adviser/bio/john-jordan/</v>
      </c>
      <c r="K226" t="str">
        <f>IFERROR(IF(JHers!K80="","",JHers!K80),"")</f>
        <v>NO_DATO</v>
      </c>
    </row>
    <row r="227" spans="1:11" x14ac:dyDescent="0.3">
      <c r="A227" t="str">
        <f>IFERROR(IF(JHers!A81="","",JHers!A81),"")</f>
        <v>John Kerschner, CFA</v>
      </c>
      <c r="B227" t="str">
        <f>IFERROR(IF(JHers!B81="","",JHers!B81),"")</f>
        <v>Global Head of Securitised Products | Portfolio Manager</v>
      </c>
      <c r="C227" t="str">
        <f>IFERROR(IF(JHers!C81="","",JHers!C81),"")</f>
        <v>Portfolio Manager</v>
      </c>
      <c r="D227" t="str">
        <f>IFERROR(IF(JHers!D81="","",JHers!D81),"")</f>
        <v>Renta fija</v>
      </c>
      <c r="E227" t="str">
        <f>IFERROR(IF(JHers!E81="","",JHers!E81),"")</f>
        <v>Securitised products / structured credit</v>
      </c>
      <c r="F227" t="str">
        <f>IFERROR(IF(JHers!F81="","",JHers!F81),"")</f>
        <v>Global</v>
      </c>
      <c r="G227" t="str">
        <f>IFERROR(IF(JHers!G81="","",JHers!G81),"")</f>
        <v>Crédito titulizado / MBS / ABS</v>
      </c>
      <c r="H227" t="str">
        <f>IFERROR(IF(JHers!H81="","",JHers!H81),"")</f>
        <v>Securitised Credit &amp; Core Plus strategies</v>
      </c>
      <c r="I227" t="str">
        <f>IFERROR(IF(JHers!I81="","",JHers!I81),"")</f>
        <v>NO_DATO</v>
      </c>
      <c r="J227" t="str">
        <f>IFERROR(IF(JHers!J81="","",JHers!J81),"")</f>
        <v>https://www.janushenderson.com/en-gb/investor/bio/john-kerschner/</v>
      </c>
      <c r="K227" t="str">
        <f>IFERROR(IF(JHers!K81="","",JHers!K81),"")</f>
        <v>NO_DATO</v>
      </c>
    </row>
    <row r="228" spans="1:11" x14ac:dyDescent="0.3">
      <c r="A228" t="str">
        <f>IFERROR(IF(JHers!A82="","",JHers!A82),"")</f>
        <v>John King</v>
      </c>
      <c r="B228" t="str">
        <f>IFERROR(IF(JHers!B82="","",JHers!B82),"")</f>
        <v>Associate Portfolio Manager</v>
      </c>
      <c r="C228" t="str">
        <f>IFERROR(IF(JHers!C82="","",JHers!C82),"")</f>
        <v>Portfolio Manager</v>
      </c>
      <c r="D228" t="str">
        <f>IFERROR(IF(JHers!D82="","",JHers!D82),"")</f>
        <v>Alternativos</v>
      </c>
      <c r="E228" t="str">
        <f>IFERROR(IF(JHers!E82="","",JHers!E82),"")</f>
        <v>Diversified alternatives</v>
      </c>
      <c r="F228" t="str">
        <f>IFERROR(IF(JHers!F82="","",JHers!F82),"")</f>
        <v>Global</v>
      </c>
      <c r="G228" t="str">
        <f>IFERROR(IF(JHers!G82="","",JHers!G82),"")</f>
        <v>Alternativos líquidos / multiestrategia</v>
      </c>
      <c r="H228" t="str">
        <f>IFERROR(IF(JHers!H82="","",JHers!H82),"")</f>
        <v>Diversified Alternatives strategies</v>
      </c>
      <c r="I228" t="str">
        <f>IFERROR(IF(JHers!I82="","",JHers!I82),"")</f>
        <v>NO_DATO</v>
      </c>
      <c r="J228" t="str">
        <f>IFERROR(IF(JHers!J82="","",JHers!J82),"")</f>
        <v>https://www.janushenderson.com/en-us/investor/bio/john-king/</v>
      </c>
      <c r="K228" t="str">
        <f>IFERROR(IF(JHers!K82="","",JHers!K82),"")</f>
        <v>NO_DATO</v>
      </c>
    </row>
    <row r="229" spans="1:11" x14ac:dyDescent="0.3">
      <c r="A229" t="str">
        <f>IFERROR(IF(JHers!A83="","",JHers!A83),"")</f>
        <v>John Lloyd</v>
      </c>
      <c r="B229" t="str">
        <f>IFERROR(IF(JHers!B83="","",JHers!B83),"")</f>
        <v>Global Head of Multi-Sector Credit | Portfolio Manager</v>
      </c>
      <c r="C229" t="str">
        <f>IFERROR(IF(JHers!C83="","",JHers!C83),"")</f>
        <v>Portfolio Manager</v>
      </c>
      <c r="D229" t="str">
        <f>IFERROR(IF(JHers!D83="","",JHers!D83),"")</f>
        <v>Renta fija</v>
      </c>
      <c r="E229" t="str">
        <f>IFERROR(IF(JHers!E83="","",JHers!E83),"")</f>
        <v>Multi-sector credit</v>
      </c>
      <c r="F229" t="str">
        <f>IFERROR(IF(JHers!F83="","",JHers!F83),"")</f>
        <v>Global</v>
      </c>
      <c r="G229" t="str">
        <f>IFERROR(IF(JHers!G83="","",JHers!G83),"")</f>
        <v>Crédito multisectorial / investment grade y high yield</v>
      </c>
      <c r="H229" t="str">
        <f>IFERROR(IF(JHers!H83="","",JHers!H83),"")</f>
        <v>Multi-Sector Credit strategies</v>
      </c>
      <c r="I229" t="str">
        <f>IFERROR(IF(JHers!I83="","",JHers!I83),"")</f>
        <v>NO_DATO</v>
      </c>
      <c r="J229" t="str">
        <f>IFERROR(IF(JHers!J83="","",JHers!J83),"")</f>
        <v>https://www.janushenderson.com/en-gb/adviser/bio/john-lloyd/</v>
      </c>
      <c r="K229" t="str">
        <f>IFERROR(IF(JHers!K83="","",JHers!K83),"")</f>
        <v>NO_DATO</v>
      </c>
    </row>
    <row r="230" spans="1:11" x14ac:dyDescent="0.3">
      <c r="A230" t="str">
        <f>IFERROR(IF(JHers!A84="","",JHers!A84),"")</f>
        <v>Jonathan Cofsky, CFA</v>
      </c>
      <c r="B230" t="str">
        <f>IFERROR(IF(JHers!B84="","",JHers!B84),"")</f>
        <v>Portfolio Manager | Research Analyst | Technology Co-Sector Lead</v>
      </c>
      <c r="C230" t="str">
        <f>IFERROR(IF(JHers!C84="","",JHers!C84),"")</f>
        <v>Portfolio Manager + Analista</v>
      </c>
      <c r="D230" t="str">
        <f>IFERROR(IF(JHers!D84="","",JHers!D84),"")</f>
        <v>Renta variable</v>
      </c>
      <c r="E230" t="str">
        <f>IFERROR(IF(JHers!E84="","",JHers!E84),"")</f>
        <v>Global technology &amp; innovation equities</v>
      </c>
      <c r="F230" t="str">
        <f>IFERROR(IF(JHers!F84="","",JHers!F84),"")</f>
        <v>Global</v>
      </c>
      <c r="G230" t="str">
        <f>IFERROR(IF(JHers!G84="","",JHers!G84),"")</f>
        <v>Tecnología</v>
      </c>
      <c r="H230" t="str">
        <f>IFERROR(IF(JHers!H84="","",JHers!H84),"")</f>
        <v>Global Technology &amp; Innovation strategies</v>
      </c>
      <c r="I230" t="str">
        <f>IFERROR(IF(JHers!I84="","",JHers!I84),"")</f>
        <v>NO_DATO</v>
      </c>
      <c r="J230" t="str">
        <f>IFERROR(IF(JHers!J84="","",JHers!J84),"")</f>
        <v>https://www.janushenderson.com/en-us/advisor/bio/jonathan-cofsky-cfa/</v>
      </c>
      <c r="K230" t="str">
        <f>IFERROR(IF(JHers!K84="","",JHers!K84),"")</f>
        <v>NO_DATO</v>
      </c>
    </row>
    <row r="231" spans="1:11" x14ac:dyDescent="0.3">
      <c r="A231" t="str">
        <f>IFERROR(IF(JHers!A85="","",JHers!A85),"")</f>
        <v>Jonathan Coleman, CFA</v>
      </c>
      <c r="B231" t="str">
        <f>IFERROR(IF(JHers!B85="","",JHers!B85),"")</f>
        <v>Portfolio Manager</v>
      </c>
      <c r="C231" t="str">
        <f>IFERROR(IF(JHers!C85="","",JHers!C85),"")</f>
        <v>Portfolio Manager</v>
      </c>
      <c r="D231" t="str">
        <f>IFERROR(IF(JHers!D85="","",JHers!D85),"")</f>
        <v>Renta variable</v>
      </c>
      <c r="E231" t="str">
        <f>IFERROR(IF(JHers!E85="","",JHers!E85),"")</f>
        <v>US small/mid-cap growth</v>
      </c>
      <c r="F231" t="str">
        <f>IFERROR(IF(JHers!F85="","",JHers!F85),"")</f>
        <v>Estados Unidos</v>
      </c>
      <c r="G231" t="str">
        <f>IFERROR(IF(JHers!G85="","",JHers!G85),"")</f>
        <v>Small &amp; mid cap growth</v>
      </c>
      <c r="H231" t="str">
        <f>IFERROR(IF(JHers!H85="","",JHers!H85),"")</f>
        <v>US SMID Cap Growth &amp; US Small Company Growth strategies</v>
      </c>
      <c r="I231" t="str">
        <f>IFERROR(IF(JHers!I85="","",JHers!I85),"")</f>
        <v>NO_DATO</v>
      </c>
      <c r="J231" t="str">
        <f>IFERROR(IF(JHers!J85="","",JHers!J85),"")</f>
        <v>https://www.janushenderson.com/bio/jonathan-coleman-cfa/</v>
      </c>
      <c r="K231" t="str">
        <f>IFERROR(IF(JHers!K85="","",JHers!K85),"")</f>
        <v>NO_DATO</v>
      </c>
    </row>
    <row r="232" spans="1:11" x14ac:dyDescent="0.3">
      <c r="A232" t="str">
        <f>IFERROR(IF(JHers!A86="","",JHers!A86),"")</f>
        <v>Joshua Cummings, CFA</v>
      </c>
      <c r="B232" t="str">
        <f>IFERROR(IF(JHers!B86="","",JHers!B86),"")</f>
        <v>Portfolio Manager | Research Analyst</v>
      </c>
      <c r="C232" t="str">
        <f>IFERROR(IF(JHers!C86="","",JHers!C86),"")</f>
        <v>Portfolio Manager + Analista</v>
      </c>
      <c r="D232" t="str">
        <f>IFERROR(IF(JHers!D86="","",JHers!D86),"")</f>
        <v>Renta variable</v>
      </c>
      <c r="E232" t="str">
        <f>IFERROR(IF(JHers!E86="","",JHers!E86),"")</f>
        <v>US consumer &amp; communications equities</v>
      </c>
      <c r="F232" t="str">
        <f>IFERROR(IF(JHers!F86="","",JHers!F86),"")</f>
        <v>Estados Unidos</v>
      </c>
      <c r="G232" t="str">
        <f>IFERROR(IF(JHers!G86="","",JHers!G86),"")</f>
        <v>Consumo y comunicaciones</v>
      </c>
      <c r="H232" t="str">
        <f>IFERROR(IF(JHers!H86="","",JHers!H86),"")</f>
        <v>Consumer &amp; Communications Sector strategies</v>
      </c>
      <c r="I232" t="str">
        <f>IFERROR(IF(JHers!I86="","",JHers!I86),"")</f>
        <v>NO_DATO</v>
      </c>
      <c r="J232" t="str">
        <f>IFERROR(IF(JHers!J86="","",JHers!J86),"")</f>
        <v>https://www.janushenderson.com/en-us/advisor/bio/joshua-cummings-cfa/</v>
      </c>
      <c r="K232" t="str">
        <f>IFERROR(IF(JHers!K86="","",JHers!K86),"")</f>
        <v>NO_DATO</v>
      </c>
    </row>
    <row r="233" spans="1:11" x14ac:dyDescent="0.3">
      <c r="A233" t="str">
        <f>IFERROR(IF(JHers!A87="","",JHers!A87),"")</f>
        <v>Julia Scheufler, CFA</v>
      </c>
      <c r="B233" t="str">
        <f>IFERROR(IF(JHers!B87="","",JHers!B87),"")</f>
        <v>Portfolio Manager</v>
      </c>
      <c r="C233" t="str">
        <f>IFERROR(IF(JHers!C87="","",JHers!C87),"")</f>
        <v>Portfolio Manager</v>
      </c>
      <c r="D233" t="str">
        <f>IFERROR(IF(JHers!D87="","",JHers!D87),"")</f>
        <v>Renta variable</v>
      </c>
      <c r="E233" t="str">
        <f>IFERROR(IF(JHers!E87="","",JHers!E87),"")</f>
        <v>European small &amp; mid-cap equities</v>
      </c>
      <c r="F233" t="str">
        <f>IFERROR(IF(JHers!F87="","",JHers!F87),"")</f>
        <v>Europa</v>
      </c>
      <c r="G233" t="str">
        <f>IFERROR(IF(JHers!G87="","",JHers!G87),"")</f>
        <v>Renta variable europea / small &amp; mid caps</v>
      </c>
      <c r="H233" t="str">
        <f>IFERROR(IF(JHers!H87="","",JHers!H87),"")</f>
        <v>European Small &amp; Mid Cap strategies</v>
      </c>
      <c r="I233" t="str">
        <f>IFERROR(IF(JHers!I87="","",JHers!I87),"")</f>
        <v>NO_DATO</v>
      </c>
      <c r="J233" t="str">
        <f>IFERROR(IF(JHers!J87="","",JHers!J87),"")</f>
        <v>https://www.janushenderson.com/en-us/advisor/bio/julia-scheufler-cfa/</v>
      </c>
      <c r="K233" t="str">
        <f>IFERROR(IF(JHers!K87="","",JHers!K87),"")</f>
        <v>NO_DATO</v>
      </c>
    </row>
    <row r="234" spans="1:11" x14ac:dyDescent="0.3">
      <c r="A234" t="str">
        <f>IFERROR(IF(JHers!A88="","",JHers!A88),"")</f>
        <v>Junichi Inoue</v>
      </c>
      <c r="B234" t="str">
        <f>IFERROR(IF(JHers!B88="","",JHers!B88),"")</f>
        <v>Head of Japanese Equities | Portfolio Manager</v>
      </c>
      <c r="C234" t="str">
        <f>IFERROR(IF(JHers!C88="","",JHers!C88),"")</f>
        <v>Portfolio Manager</v>
      </c>
      <c r="D234" t="str">
        <f>IFERROR(IF(JHers!D88="","",JHers!D88),"")</f>
        <v>Renta variable</v>
      </c>
      <c r="E234" t="str">
        <f>IFERROR(IF(JHers!E88="","",JHers!E88),"")</f>
        <v>Japanese equities high conviction</v>
      </c>
      <c r="F234" t="str">
        <f>IFERROR(IF(JHers!F88="","",JHers!F88),"")</f>
        <v>Japón</v>
      </c>
      <c r="G234" t="str">
        <f>IFERROR(IF(JHers!G88="","",JHers!G88),"")</f>
        <v>Renta variable japonesa / reformas corporativas</v>
      </c>
      <c r="H234" t="str">
        <f>IFERROR(IF(JHers!H88="","",JHers!H88),"")</f>
        <v>Japan High Conviction Equity strategies</v>
      </c>
      <c r="I234" t="str">
        <f>IFERROR(IF(JHers!I88="","",JHers!I88),"")</f>
        <v>NO_DATO</v>
      </c>
      <c r="J234" t="str">
        <f>IFERROR(IF(JHers!J88="","",JHers!J88),"")</f>
        <v>https://www.janushenderson.com/en-gb/adviser/bio/junichi-inoue/</v>
      </c>
      <c r="K234" t="str">
        <f>IFERROR(IF(JHers!K88="","",JHers!K88),"")</f>
        <v>NO_DATO</v>
      </c>
    </row>
    <row r="235" spans="1:11" x14ac:dyDescent="0.3">
      <c r="A235" t="str">
        <f>IFERROR(IF(JHers!A89="","",JHers!A89),"")</f>
        <v>Kris Bernie</v>
      </c>
      <c r="B235" t="str">
        <f>IFERROR(IF(JHers!B89="","",JHers!B89),"")</f>
        <v>Portfolio Manager</v>
      </c>
      <c r="C235" t="str">
        <f>IFERROR(IF(JHers!C89="","",JHers!C89),"")</f>
        <v>Portfolio Manager</v>
      </c>
      <c r="D235" t="str">
        <f>IFERROR(IF(JHers!D89="","",JHers!D89),"")</f>
        <v>Renta fija</v>
      </c>
      <c r="E235" t="str">
        <f>IFERROR(IF(JHers!E89="","",JHers!E89),"")</f>
        <v>Global short duration &amp; liquidity</v>
      </c>
      <c r="F235" t="str">
        <f>IFERROR(IF(JHers!F89="","",JHers!F89),"")</f>
        <v>Global</v>
      </c>
      <c r="G235" t="str">
        <f>IFERROR(IF(JHers!G89="","",JHers!G89),"")</f>
        <v>Renta fija a corto plazo / liquidez</v>
      </c>
      <c r="H235" t="str">
        <f>IFERROR(IF(JHers!H89="","",JHers!H89),"")</f>
        <v>Global Short Duration &amp; Liquidity strategies</v>
      </c>
      <c r="I235" t="str">
        <f>IFERROR(IF(JHers!I89="","",JHers!I89),"")</f>
        <v>NO_DATO</v>
      </c>
      <c r="J235" t="str">
        <f>IFERROR(IF(JHers!J89="","",JHers!J89),"")</f>
        <v>https://www.janushenderson.com/corporate/bio/kris-bernie/</v>
      </c>
      <c r="K235" t="str">
        <f>IFERROR(IF(JHers!K89="","",JHers!K89),"")</f>
        <v>NO_DATO</v>
      </c>
    </row>
    <row r="236" spans="1:11" x14ac:dyDescent="0.3">
      <c r="A236" t="str">
        <f>IFERROR(IF(JHers!A90="","",JHers!A90),"")</f>
        <v>Lance Yoshihara</v>
      </c>
      <c r="B236" t="str">
        <f>IFERROR(IF(JHers!B90="","",JHers!B90),"")</f>
        <v>Portfolio Manager</v>
      </c>
      <c r="C236" t="str">
        <f>IFERROR(IF(JHers!C90="","",JHers!C90),"")</f>
        <v>Portfolio Manager</v>
      </c>
      <c r="D236" t="str">
        <f>IFERROR(IF(JHers!D90="","",JHers!D90),"")</f>
        <v>Alternativos</v>
      </c>
      <c r="E236" t="str">
        <f>IFERROR(IF(JHers!E90="","",JHers!E90),"")</f>
        <v>Diversified alternatives</v>
      </c>
      <c r="F236" t="str">
        <f>IFERROR(IF(JHers!F90="","",JHers!F90),"")</f>
        <v>Global</v>
      </c>
      <c r="G236" t="str">
        <f>IFERROR(IF(JHers!G90="","",JHers!G90),"")</f>
        <v>Alternativos líquidos / multiestrategia</v>
      </c>
      <c r="H236" t="str">
        <f>IFERROR(IF(JHers!H90="","",JHers!H90),"")</f>
        <v>Diversified Alternatives strategies</v>
      </c>
      <c r="I236" t="str">
        <f>IFERROR(IF(JHers!I90="","",JHers!I90),"")</f>
        <v>NO_DATO</v>
      </c>
      <c r="J236" t="str">
        <f>IFERROR(IF(JHers!J90="","",JHers!J90),"")</f>
        <v>https://www.janushenderson.com/es-es/investor/bio/lance-yoshihara/</v>
      </c>
      <c r="K236" t="str">
        <f>IFERROR(IF(JHers!K90="","",JHers!K90),"")</f>
        <v>NO_DATO</v>
      </c>
    </row>
    <row r="237" spans="1:11" x14ac:dyDescent="0.3">
      <c r="A237" t="str">
        <f>IFERROR(IF(JHers!A91="","",JHers!A91),"")</f>
        <v>Larry Cohen</v>
      </c>
      <c r="B237" t="str">
        <f>IFERROR(IF(JHers!B91="","",JHers!B91),"")</f>
        <v>Chief Transformation &amp; Operating Officer</v>
      </c>
      <c r="C237" t="str">
        <f>IFERROR(IF(JHers!C91="","",JHers!C91),"")</f>
        <v>Otro</v>
      </c>
      <c r="D237" t="str">
        <f>IFERROR(IF(JHers!D91="","",JHers!D91),"")</f>
        <v>Perfil ejecutivo</v>
      </c>
      <c r="E237" t="str">
        <f>IFERROR(IF(JHers!E91="","",JHers!E91),"")</f>
        <v>Transformación y operaciones</v>
      </c>
      <c r="F237" t="str">
        <f>IFERROR(IF(JHers!F91="","",JHers!F91),"")</f>
        <v>Global</v>
      </c>
      <c r="G237" t="str">
        <f>IFERROR(IF(JHers!G91="","",JHers!G91),"")</f>
        <v>Operaciones / tecnología / cambio organizativo</v>
      </c>
      <c r="H237" t="str">
        <f>IFERROR(IF(JHers!H91="","",JHers!H91),"")</f>
        <v>NO_DATO</v>
      </c>
      <c r="I237" t="str">
        <f>IFERROR(IF(JHers!I91="","",JHers!I91),"")</f>
        <v>NO_DATO</v>
      </c>
      <c r="J237" t="str">
        <f>IFERROR(IF(JHers!J91="","",JHers!J91),"")</f>
        <v>https://www.janushenderson.com/middle-east/institutional/bio/larry-cohen/</v>
      </c>
      <c r="K237" t="str">
        <f>IFERROR(IF(JHers!K91="","",JHers!K91),"")</f>
        <v>NO_DATO</v>
      </c>
    </row>
    <row r="238" spans="1:11" x14ac:dyDescent="0.3">
      <c r="A238" t="str">
        <f>IFERROR(IF(JHers!A92="","",JHers!A92),"")</f>
        <v>Laura Foll, CFA</v>
      </c>
      <c r="B238" t="str">
        <f>IFERROR(IF(JHers!B92="","",JHers!B92),"")</f>
        <v>Portfolio Manager</v>
      </c>
      <c r="C238" t="str">
        <f>IFERROR(IF(JHers!C92="","",JHers!C92),"")</f>
        <v>Portfolio Manager</v>
      </c>
      <c r="D238" t="str">
        <f>IFERROR(IF(JHers!D92="","",JHers!D92),"")</f>
        <v>Renta variable</v>
      </c>
      <c r="E238" t="str">
        <f>IFERROR(IF(JHers!E92="","",JHers!E92),"")</f>
        <v>Global &amp; UK equity income</v>
      </c>
      <c r="F238" t="str">
        <f>IFERROR(IF(JHers!F92="","",JHers!F92),"")</f>
        <v>Reino Unido / Global</v>
      </c>
      <c r="G238" t="str">
        <f>IFERROR(IF(JHers!G92="","",JHers!G92),"")</f>
        <v>Renta variable de dividendo / income</v>
      </c>
      <c r="H238" t="str">
        <f>IFERROR(IF(JHers!H92="","",JHers!H92),"")</f>
        <v>Global Equity Income &amp; UK Equity Income strategies</v>
      </c>
      <c r="I238" t="str">
        <f>IFERROR(IF(JHers!I92="","",JHers!I92),"")</f>
        <v>NO_DATO</v>
      </c>
      <c r="J238" t="str">
        <f>IFERROR(IF(JHers!J92="","",JHers!J92),"")</f>
        <v>https://www.janushenderson.com/en-pt/advisor/bio/laura-foll/</v>
      </c>
      <c r="K238" t="str">
        <f>IFERROR(IF(JHers!K92="","",JHers!K92),"")</f>
        <v>NO_DATO</v>
      </c>
    </row>
    <row r="239" spans="1:11" x14ac:dyDescent="0.3">
      <c r="A239" t="str">
        <f>IFERROR(IF(JHers!A93="","",JHers!A93),"")</f>
        <v>Lucas Klein</v>
      </c>
      <c r="B239" t="str">
        <f>IFERROR(IF(JHers!B93="","",JHers!B93),"")</f>
        <v>Head of EMEA and Asia Pacific Equities</v>
      </c>
      <c r="C239" t="str">
        <f>IFERROR(IF(JHers!C93="","",JHers!C93),"")</f>
        <v>Otro</v>
      </c>
      <c r="D239" t="str">
        <f>IFERROR(IF(JHers!D93="","",JHers!D93),"")</f>
        <v>Renta variable</v>
      </c>
      <c r="E239" t="str">
        <f>IFERROR(IF(JHers!E93="","",JHers!E93),"")</f>
        <v>Equity leadership EMEA &amp; Asia Pacific</v>
      </c>
      <c r="F239" t="str">
        <f>IFERROR(IF(JHers!F93="","",JHers!F93),"")</f>
        <v>Europa / Asia Pacífico</v>
      </c>
      <c r="G239" t="str">
        <f>IFERROR(IF(JHers!G93="","",JHers!G93),"")</f>
        <v>Gestión de equipos de renta variable</v>
      </c>
      <c r="H239" t="str">
        <f>IFERROR(IF(JHers!H93="","",JHers!H93),"")</f>
        <v>NO_DATO</v>
      </c>
      <c r="I239" t="str">
        <f>IFERROR(IF(JHers!I93="","",JHers!I93),"")</f>
        <v>NO_DATO</v>
      </c>
      <c r="J239" t="str">
        <f>IFERROR(IF(JHers!J93="","",JHers!J93),"")</f>
        <v>https://www.janushenderson.com/en-us/advisor/bio/lucas-klein/</v>
      </c>
      <c r="K239" t="str">
        <f>IFERROR(IF(JHers!K93="","",JHers!K93),"")</f>
        <v>NO_DATO</v>
      </c>
    </row>
    <row r="240" spans="1:11" x14ac:dyDescent="0.3">
      <c r="A240" t="str">
        <f>IFERROR(IF(JHers!A94="","",JHers!A94),"")</f>
        <v>Lucy Holden, CFA</v>
      </c>
      <c r="B240" t="str">
        <f>IFERROR(IF(JHers!B94="","",JHers!B94),"")</f>
        <v>Portfolio Manager</v>
      </c>
      <c r="C240" t="str">
        <f>IFERROR(IF(JHers!C94="","",JHers!C94),"")</f>
        <v>Portfolio Manager</v>
      </c>
      <c r="D240" t="str">
        <f>IFERROR(IF(JHers!D94="","",JHers!D94),"")</f>
        <v>Alternativos</v>
      </c>
      <c r="E240" t="str">
        <f>IFERROR(IF(JHers!E94="","",JHers!E94),"")</f>
        <v>Diversified alternatives / quantitative</v>
      </c>
      <c r="F240" t="str">
        <f>IFERROR(IF(JHers!F94="","",JHers!F94),"")</f>
        <v>Global</v>
      </c>
      <c r="G240" t="str">
        <f>IFERROR(IF(JHers!G94="","",JHers!G94),"")</f>
        <v>Alternativos líquidos / multiestrategia cuantitativa</v>
      </c>
      <c r="H240" t="str">
        <f>IFERROR(IF(JHers!H94="","",JHers!H94),"")</f>
        <v>Diversified Alternatives strategies</v>
      </c>
      <c r="I240" t="str">
        <f>IFERROR(IF(JHers!I94="","",JHers!I94),"")</f>
        <v>NO_DATO</v>
      </c>
      <c r="J240" t="str">
        <f>IFERROR(IF(JHers!J94="","",JHers!J94),"")</f>
        <v>https://www.janushenderson.com/en-hk/investor/bio/lucy-holden-cfa/</v>
      </c>
      <c r="K240" t="str">
        <f>IFERROR(IF(JHers!K94="","",JHers!K94),"")</f>
        <v>NO_DATO</v>
      </c>
    </row>
    <row r="241" spans="1:11" x14ac:dyDescent="0.3">
      <c r="A241" t="str">
        <f>IFERROR(IF(JHers!A95="","",JHers!A95),"")</f>
        <v>Luke Newman</v>
      </c>
      <c r="B241" t="str">
        <f>IFERROR(IF(JHers!B95="","",JHers!B95),"")</f>
        <v>Portfolio Manager</v>
      </c>
      <c r="C241" t="str">
        <f>IFERROR(IF(JHers!C95="","",JHers!C95),"")</f>
        <v>Portfolio Manager</v>
      </c>
      <c r="D241" t="str">
        <f>IFERROR(IF(JHers!D95="","",JHers!D95),"")</f>
        <v>Renta variable</v>
      </c>
      <c r="E241" t="str">
        <f>IFERROR(IF(JHers!E95="","",JHers!E95),"")</f>
        <v>Absolute return equities (long/short)</v>
      </c>
      <c r="F241" t="str">
        <f>IFERROR(IF(JHers!F95="","",JHers!F95),"")</f>
        <v>Europa</v>
      </c>
      <c r="G241" t="str">
        <f>IFERROR(IF(JHers!G95="","",JHers!G95),"")</f>
        <v>Renta variable long/short / retorno absoluto</v>
      </c>
      <c r="H241" t="str">
        <f>IFERROR(IF(JHers!H95="","",JHers!H95),"")</f>
        <v>Absolute Return Equity strategies</v>
      </c>
      <c r="I241" t="str">
        <f>IFERROR(IF(JHers!I95="","",JHers!I95),"")</f>
        <v>NO_DATO</v>
      </c>
      <c r="J241" t="str">
        <f>IFERROR(IF(JHers!J95="","",JHers!J95),"")</f>
        <v>https://www.janushenderson.com/en-no/advisor/bio/luke-newman/</v>
      </c>
      <c r="K241" t="str">
        <f>IFERROR(IF(JHers!K95="","",JHers!K95),"")</f>
        <v>NO_DATO</v>
      </c>
    </row>
    <row r="242" spans="1:11" x14ac:dyDescent="0.3">
      <c r="A242" t="str">
        <f>IFERROR(IF(JHers!A96="","",JHers!A96),"")</f>
        <v>Marc Pinto, CFA</v>
      </c>
      <c r="B242" t="str">
        <f>IFERROR(IF(JHers!B96="","",JHers!B96),"")</f>
        <v>Head of Americas Equities</v>
      </c>
      <c r="C242" t="str">
        <f>IFERROR(IF(JHers!C96="","",JHers!C96),"")</f>
        <v>Otro</v>
      </c>
      <c r="D242" t="str">
        <f>IFERROR(IF(JHers!D96="","",JHers!D96),"")</f>
        <v>Renta variable</v>
      </c>
      <c r="E242" t="str">
        <f>IFERROR(IF(JHers!E96="","",JHers!E96),"")</f>
        <v>Americas equities leadership</v>
      </c>
      <c r="F242" t="str">
        <f>IFERROR(IF(JHers!F96="","",JHers!F96),"")</f>
        <v>América</v>
      </c>
      <c r="G242" t="str">
        <f>IFERROR(IF(JHers!G96="","",JHers!G96),"")</f>
        <v>Renta variable estadounidense / gestión de equipos</v>
      </c>
      <c r="H242" t="str">
        <f>IFERROR(IF(JHers!H96="","",JHers!H96),"")</f>
        <v>NO_DATO</v>
      </c>
      <c r="I242" t="str">
        <f>IFERROR(IF(JHers!I96="","",JHers!I96),"")</f>
        <v>NO_DATO</v>
      </c>
      <c r="J242" t="str">
        <f>IFERROR(IF(JHers!J96="","",JHers!J96),"")</f>
        <v>https://www.janushenderson.com/en-hk/investor/bio/marc-pinto-cfa/</v>
      </c>
      <c r="K242" t="str">
        <f>IFERROR(IF(JHers!K96="","",JHers!K96),"")</f>
        <v>NO_DATO</v>
      </c>
    </row>
    <row r="243" spans="1:11" x14ac:dyDescent="0.3">
      <c r="A243" t="str">
        <f>IFERROR(IF(JHers!A97="","",JHers!A97),"")</f>
        <v>Marc Schartz, CFA</v>
      </c>
      <c r="B243" t="str">
        <f>IFERROR(IF(JHers!B97="","",JHers!B97),"")</f>
        <v>Portfolio Manager</v>
      </c>
      <c r="C243" t="str">
        <f>IFERROR(IF(JHers!C97="","",JHers!C97),"")</f>
        <v>Portfolio Manager</v>
      </c>
      <c r="D243" t="str">
        <f>IFERROR(IF(JHers!D97="","",JHers!D97),"")</f>
        <v>Renta variable</v>
      </c>
      <c r="E243" t="str">
        <f>IFERROR(IF(JHers!E97="","",JHers!E97),"")</f>
        <v>European equities (small &amp; mid caps)</v>
      </c>
      <c r="F243" t="str">
        <f>IFERROR(IF(JHers!F97="","",JHers!F97),"")</f>
        <v>Europa</v>
      </c>
      <c r="G243" t="str">
        <f>IFERROR(IF(JHers!G97="","",JHers!G97),"")</f>
        <v>Renta variable europea / small &amp; mid caps</v>
      </c>
      <c r="H243" t="str">
        <f>IFERROR(IF(JHers!H97="","",JHers!H97),"")</f>
        <v>European Equities strategies</v>
      </c>
      <c r="I243" t="str">
        <f>IFERROR(IF(JHers!I97="","",JHers!I97),"")</f>
        <v>NO_DATO</v>
      </c>
      <c r="J243" t="str">
        <f>IFERROR(IF(JHers!J97="","",JHers!J97),"")</f>
        <v>https://www.janushenderson.com/en-au/investor/bio/marc-schartz-cfa/</v>
      </c>
      <c r="K243" t="str">
        <f>IFERROR(IF(JHers!K97="","",JHers!K97),"")</f>
        <v>NO_DATO</v>
      </c>
    </row>
    <row r="244" spans="1:11" x14ac:dyDescent="0.3">
      <c r="A244" t="str">
        <f>IFERROR(IF(JHers!A98="","",JHers!A98),"")</f>
        <v>Matthew Culley</v>
      </c>
      <c r="B244" t="str">
        <f>IFERROR(IF(JHers!B98="","",JHers!B98),"")</f>
        <v>Portfolio Manager</v>
      </c>
      <c r="C244" t="str">
        <f>IFERROR(IF(JHers!C98="","",JHers!C98),"")</f>
        <v>Portfolio Manager</v>
      </c>
      <c r="D244" t="str">
        <f>IFERROR(IF(JHers!D98="","",JHers!D98),"")</f>
        <v>Renta variable</v>
      </c>
      <c r="E244" t="str">
        <f>IFERROR(IF(JHers!E98="","",JHers!E98),"")</f>
        <v>Emerging markets equities</v>
      </c>
      <c r="F244" t="str">
        <f>IFERROR(IF(JHers!F98="","",JHers!F98),"")</f>
        <v>Mercados emergentes</v>
      </c>
      <c r="G244" t="str">
        <f>IFERROR(IF(JHers!G98="","",JHers!G98),"")</f>
        <v>Renta variable emergente</v>
      </c>
      <c r="H244" t="str">
        <f>IFERROR(IF(JHers!H98="","",JHers!H98),"")</f>
        <v>Emerging Market Equity strategies</v>
      </c>
      <c r="I244" t="str">
        <f>IFERROR(IF(JHers!I98="","",JHers!I98),"")</f>
        <v>NO_DATO</v>
      </c>
      <c r="J244" t="str">
        <f>IFERROR(IF(JHers!J98="","",JHers!J98),"")</f>
        <v>https://www.janushenderson.com/en-hk/investor/bio/matthew-culley/</v>
      </c>
      <c r="K244" t="str">
        <f>IFERROR(IF(JHers!K98="","",JHers!K98),"")</f>
        <v>NO_DATO</v>
      </c>
    </row>
    <row r="245" spans="1:11" x14ac:dyDescent="0.3">
      <c r="A245" t="str">
        <f>IFERROR(IF(JHers!A99="","",JHers!A99),"")</f>
        <v>Megan Podzorov</v>
      </c>
      <c r="B245" t="str">
        <f>IFERROR(IF(JHers!B99="","",JHers!B99),"")</f>
        <v>Chief People Officer</v>
      </c>
      <c r="C245" t="str">
        <f>IFERROR(IF(JHers!C99="","",JHers!C99),"")</f>
        <v>Otro</v>
      </c>
      <c r="D245" t="str">
        <f>IFERROR(IF(JHers!D99="","",JHers!D99),"")</f>
        <v>Perfil ejecutivo</v>
      </c>
      <c r="E245" t="str">
        <f>IFERROR(IF(JHers!E99="","",JHers!E99),"")</f>
        <v>People / HR leadership</v>
      </c>
      <c r="F245" t="str">
        <f>IFERROR(IF(JHers!F99="","",JHers!F99),"")</f>
        <v>Global</v>
      </c>
      <c r="G245" t="str">
        <f>IFERROR(IF(JHers!G99="","",JHers!G99),"")</f>
        <v>Recursos humanos / talento</v>
      </c>
      <c r="H245" t="str">
        <f>IFERROR(IF(JHers!H99="","",JHers!H99),"")</f>
        <v>NO_DATO</v>
      </c>
      <c r="I245" t="str">
        <f>IFERROR(IF(JHers!I99="","",JHers!I99),"")</f>
        <v>NO_DATO</v>
      </c>
      <c r="J245" t="str">
        <f>IFERROR(IF(JHers!J99="","",JHers!J99),"")</f>
        <v>https://www.janushenderson.com/en-us/advisor/bio/megan-podzorov/</v>
      </c>
      <c r="K245" t="str">
        <f>IFERROR(IF(JHers!K99="","",JHers!K99),"")</f>
        <v>NO_DATO</v>
      </c>
    </row>
    <row r="246" spans="1:11" x14ac:dyDescent="0.3">
      <c r="A246" t="str">
        <f>IFERROR(IF(JHers!A100="","",JHers!A100),"")</f>
        <v>Michael Keough</v>
      </c>
      <c r="B246" t="str">
        <f>IFERROR(IF(JHers!B100="","",JHers!B100),"")</f>
        <v>Portfolio Manager</v>
      </c>
      <c r="C246" t="str">
        <f>IFERROR(IF(JHers!C100="","",JHers!C100),"")</f>
        <v>Portfolio Manager</v>
      </c>
      <c r="D246" t="str">
        <f>IFERROR(IF(JHers!D100="","",JHers!D100),"")</f>
        <v>Renta fija</v>
      </c>
      <c r="E246" t="str">
        <f>IFERROR(IF(JHers!E100="","",JHers!E100),"")</f>
        <v>Corporate credit &amp; Core Plus</v>
      </c>
      <c r="F246" t="str">
        <f>IFERROR(IF(JHers!F100="","",JHers!F100),"")</f>
        <v>Global</v>
      </c>
      <c r="G246" t="str">
        <f>IFERROR(IF(JHers!G100="","",JHers!G100),"")</f>
        <v>Crédito corporativo / renta fija Core Plus</v>
      </c>
      <c r="H246" t="str">
        <f>IFERROR(IF(JHers!H100="","",JHers!H100),"")</f>
        <v>Corporate Credit &amp; Core Plus strategies</v>
      </c>
      <c r="I246" t="str">
        <f>IFERROR(IF(JHers!I100="","",JHers!I100),"")</f>
        <v>NO_DATO</v>
      </c>
      <c r="J246" t="str">
        <f>IFERROR(IF(JHers!J100="","",JHers!J100),"")</f>
        <v>https://www.janushenderson.com/en-ch/investor/bio/michael-keough/</v>
      </c>
      <c r="K246" t="str">
        <f>IFERROR(IF(JHers!K100="","",JHers!K100),"")</f>
        <v>NO_DATO</v>
      </c>
    </row>
    <row r="247" spans="1:11" x14ac:dyDescent="0.3">
      <c r="A247" t="str">
        <f>IFERROR(IF(JHers!A101="","",JHers!A101),"")</f>
        <v>Michael Schweitzer</v>
      </c>
      <c r="B247" t="str">
        <f>IFERROR(IF(JHers!B101="","",JHers!B101),"")</f>
        <v>Head of North America and Asia Pacific Client Group</v>
      </c>
      <c r="C247" t="str">
        <f>IFERROR(IF(JHers!C101="","",JHers!C101),"")</f>
        <v>Otro</v>
      </c>
      <c r="D247" t="str">
        <f>IFERROR(IF(JHers!D101="","",JHers!D101),"")</f>
        <v>Perfil ejecutivo</v>
      </c>
      <c r="E247" t="str">
        <f>IFERROR(IF(JHers!E101="","",JHers!E101),"")</f>
        <v>Client group leadership North America &amp; APAC</v>
      </c>
      <c r="F247" t="str">
        <f>IFERROR(IF(JHers!F101="","",JHers!F101),"")</f>
        <v>América / Asia Pacífico</v>
      </c>
      <c r="G247" t="str">
        <f>IFERROR(IF(JHers!G101="","",JHers!G101),"")</f>
        <v>Distribución / clientes institucionales</v>
      </c>
      <c r="H247" t="str">
        <f>IFERROR(IF(JHers!H101="","",JHers!H101),"")</f>
        <v>NO_DATO</v>
      </c>
      <c r="I247" t="str">
        <f>IFERROR(IF(JHers!I101="","",JHers!I101),"")</f>
        <v>NO_DATO</v>
      </c>
      <c r="J247" t="str">
        <f>IFERROR(IF(JHers!J101="","",JHers!J101),"")</f>
        <v>https://www.janushenderson.com/de-ch/advisor/bio/michael-schweitzer/</v>
      </c>
      <c r="K247" t="str">
        <f>IFERROR(IF(JHers!K101="","",JHers!K101),"")</f>
        <v>NO_DATO</v>
      </c>
    </row>
    <row r="248" spans="1:11" x14ac:dyDescent="0.3">
      <c r="A248" t="str">
        <f>IFERROR(IF(JHers!A102="","",JHers!A102),"")</f>
        <v>Michelle Rosenberg</v>
      </c>
      <c r="B248" t="str">
        <f>IFERROR(IF(JHers!B102="","",JHers!B102),"")</f>
        <v>Chief Administrative Officer and General Counsel</v>
      </c>
      <c r="C248" t="str">
        <f>IFERROR(IF(JHers!C102="","",JHers!C102),"")</f>
        <v>Otro</v>
      </c>
      <c r="D248" t="str">
        <f>IFERROR(IF(JHers!D102="","",JHers!D102),"")</f>
        <v>Perfil ejecutivo</v>
      </c>
      <c r="E248" t="str">
        <f>IFERROR(IF(JHers!E102="","",JHers!E102),"")</f>
        <v>Legal &amp; administrative leadership</v>
      </c>
      <c r="F248" t="str">
        <f>IFERROR(IF(JHers!F102="","",JHers!F102),"")</f>
        <v>Global</v>
      </c>
      <c r="G248" t="str">
        <f>IFERROR(IF(JHers!G102="","",JHers!G102),"")</f>
        <v>Asuntos legales / gobierno corporativo</v>
      </c>
      <c r="H248" t="str">
        <f>IFERROR(IF(JHers!H102="","",JHers!H102),"")</f>
        <v>NO_DATO</v>
      </c>
      <c r="I248" t="str">
        <f>IFERROR(IF(JHers!I102="","",JHers!I102),"")</f>
        <v>NO_DATO</v>
      </c>
      <c r="J248" t="str">
        <f>IFERROR(IF(JHers!J102="","",JHers!J102),"")</f>
        <v>https://www.janushendersoncharitable.org/bio/michelle-rosenberg/</v>
      </c>
      <c r="K248" t="str">
        <f>IFERROR(IF(JHers!K102="","",JHers!K102),"")</f>
        <v>NO_DATO</v>
      </c>
    </row>
    <row r="249" spans="1:11" x14ac:dyDescent="0.3">
      <c r="A249" t="str">
        <f>IFERROR(IF(JHers!A103="","",JHers!A103),"")</f>
        <v>Natasha Sibley, CFA</v>
      </c>
      <c r="B249" t="str">
        <f>IFERROR(IF(JHers!B103="","",JHers!B103),"")</f>
        <v>Portfolio Manager</v>
      </c>
      <c r="C249" t="str">
        <f>IFERROR(IF(JHers!C103="","",JHers!C103),"")</f>
        <v>Portfolio Manager</v>
      </c>
      <c r="D249" t="str">
        <f>IFERROR(IF(JHers!D103="","",JHers!D103),"")</f>
        <v>Alternativos</v>
      </c>
      <c r="E249" t="str">
        <f>IFERROR(IF(JHers!E103="","",JHers!E103),"")</f>
        <v>Diversified alternatives</v>
      </c>
      <c r="F249" t="str">
        <f>IFERROR(IF(JHers!F103="","",JHers!F103),"")</f>
        <v>Global</v>
      </c>
      <c r="G249" t="str">
        <f>IFERROR(IF(JHers!G103="","",JHers!G103),"")</f>
        <v>Alternativos líquidos / retorno absoluto</v>
      </c>
      <c r="H249" t="str">
        <f>IFERROR(IF(JHers!H103="","",JHers!H103),"")</f>
        <v>Diversified Alternatives strategies</v>
      </c>
      <c r="I249" t="str">
        <f>IFERROR(IF(JHers!I103="","",JHers!I103),"")</f>
        <v>NO_DATO</v>
      </c>
      <c r="J249" t="str">
        <f>IFERROR(IF(JHers!J103="","",JHers!J103),"")</f>
        <v>https://www.janushenderson.com/en-us/advisor/bio/natasha-sibley-cfa/</v>
      </c>
      <c r="K249" t="str">
        <f>IFERROR(IF(JHers!K103="","",JHers!K103),"")</f>
        <v>NO_DATO</v>
      </c>
    </row>
    <row r="250" spans="1:11" x14ac:dyDescent="0.3">
      <c r="A250" t="str">
        <f>IFERROR(IF(JHers!A104="","",JHers!A104),"")</f>
        <v>Nicholas Ware</v>
      </c>
      <c r="B250" t="str">
        <f>IFERROR(IF(JHers!B104="","",JHers!B104),"")</f>
        <v>Portfolio Manager</v>
      </c>
      <c r="C250" t="str">
        <f>IFERROR(IF(JHers!C104="","",JHers!C104),"")</f>
        <v>Portfolio Manager</v>
      </c>
      <c r="D250" t="str">
        <f>IFERROR(IF(JHers!D104="","",JHers!D104),"")</f>
        <v>Renta fija</v>
      </c>
      <c r="E250" t="str">
        <f>IFERROR(IF(JHers!E104="","",JHers!E104),"")</f>
        <v>Global bonds / strategic fixed income</v>
      </c>
      <c r="F250" t="str">
        <f>IFERROR(IF(JHers!F104="","",JHers!F104),"")</f>
        <v>Global</v>
      </c>
      <c r="G250" t="str">
        <f>IFERROR(IF(JHers!G104="","",JHers!G104),"")</f>
        <v>Strategic bond / crédito global</v>
      </c>
      <c r="H250" t="str">
        <f>IFERROR(IF(JHers!H104="","",JHers!H104),"")</f>
        <v>Strategic Bond &amp; Global Bond strategies</v>
      </c>
      <c r="I250" t="str">
        <f>IFERROR(IF(JHers!I104="","",JHers!I104),"")</f>
        <v>NO_DATO</v>
      </c>
      <c r="J250" t="str">
        <f>IFERROR(IF(JHers!J104="","",JHers!J104),"")</f>
        <v>https://www.janushenderson.com/en-gb/adviser/bio/nicholas-ware/</v>
      </c>
      <c r="K250" t="str">
        <f>IFERROR(IF(JHers!K104="","",JHers!K104),"")</f>
        <v>NO_DATO</v>
      </c>
    </row>
    <row r="251" spans="1:11" x14ac:dyDescent="0.3">
      <c r="A251" t="str">
        <f>IFERROR(IF(JHers!A105="","",JHers!A105),"")</f>
        <v>Nick Childs, CFA</v>
      </c>
      <c r="B251" t="str">
        <f>IFERROR(IF(JHers!B105="","",JHers!B105),"")</f>
        <v>Head of Structured and Quantitative Fixed Income | Portfolio Manager</v>
      </c>
      <c r="C251" t="str">
        <f>IFERROR(IF(JHers!C105="","",JHers!C105),"")</f>
        <v>Portfolio Manager</v>
      </c>
      <c r="D251" t="str">
        <f>IFERROR(IF(JHers!D105="","",JHers!D105),"")</f>
        <v>Renta fija</v>
      </c>
      <c r="E251" t="str">
        <f>IFERROR(IF(JHers!E105="","",JHers!E105),"")</f>
        <v>Structured &amp; quantitative fixed income / securitised credit</v>
      </c>
      <c r="F251" t="str">
        <f>IFERROR(IF(JHers!F105="","",JHers!F105),"")</f>
        <v>Global</v>
      </c>
      <c r="G251" t="str">
        <f>IFERROR(IF(JHers!G105="","",JHers!G105),"")</f>
        <v>Renta fija estructurada / titulizaciones</v>
      </c>
      <c r="H251" t="str">
        <f>IFERROR(IF(JHers!H105="","",JHers!H105),"")</f>
        <v>Structured &amp; Quantitative Fixed Income and Securitised Credit strategies</v>
      </c>
      <c r="I251" t="str">
        <f>IFERROR(IF(JHers!I105="","",JHers!I105),"")</f>
        <v>NO_DATO</v>
      </c>
      <c r="J251" t="str">
        <f>IFERROR(IF(JHers!J105="","",JHers!J105),"")</f>
        <v>https://www.janushenderson.com/en-us/advisor/bio/nick-childs-cfa/</v>
      </c>
      <c r="K251" t="str">
        <f>IFERROR(IF(JHers!K105="","",JHers!K105),"")</f>
        <v>NO_DATO</v>
      </c>
    </row>
    <row r="252" spans="1:11" x14ac:dyDescent="0.3">
      <c r="A252" t="str">
        <f>IFERROR(IF(JHers!A106="","",JHers!A106),"")</f>
        <v>Nick Harper, CFA</v>
      </c>
      <c r="B252" t="str">
        <f>IFERROR(IF(JHers!B106="","",JHers!B106),"")</f>
        <v>Portfolio Manager</v>
      </c>
      <c r="C252" t="str">
        <f>IFERROR(IF(JHers!C106="","",JHers!C106),"")</f>
        <v>Portfolio Manager</v>
      </c>
      <c r="D252" t="str">
        <f>IFERROR(IF(JHers!D106="","",JHers!D106),"")</f>
        <v>Multiactivo</v>
      </c>
      <c r="E252" t="str">
        <f>IFERROR(IF(JHers!E106="","",JHers!E106),"")</f>
        <v>Multi-asset risk-managed portfolios</v>
      </c>
      <c r="F252" t="str">
        <f>IFERROR(IF(JHers!F106="","",JHers!F106),"")</f>
        <v>Global</v>
      </c>
      <c r="G252" t="str">
        <f>IFERROR(IF(JHers!G106="","",JHers!G106),"")</f>
        <v>Multiactivo / asignación de activos</v>
      </c>
      <c r="H252" t="str">
        <f>IFERROR(IF(JHers!H106="","",JHers!H106),"")</f>
        <v>Multi-Asset strategies</v>
      </c>
      <c r="I252" t="str">
        <f>IFERROR(IF(JHers!I106="","",JHers!I106),"")</f>
        <v>NO_DATO</v>
      </c>
      <c r="J252" t="str">
        <f>IFERROR(IF(JHers!J106="","",JHers!J106),"")</f>
        <v>https://www.janushenderson.com/en-gb/adviser/bio/nick-harper-cfa/</v>
      </c>
      <c r="K252" t="str">
        <f>IFERROR(IF(JHers!K106="","",JHers!K106),"")</f>
        <v>NO_DATO</v>
      </c>
    </row>
    <row r="253" spans="1:11" x14ac:dyDescent="0.3">
      <c r="A253" t="str">
        <f>IFERROR(IF(JHers!A107="","",JHers!A107),"")</f>
        <v>Nick Sheridan</v>
      </c>
      <c r="B253" t="str">
        <f>IFERROR(IF(JHers!B107="","",JHers!B107),"")</f>
        <v>Portfolio Manager</v>
      </c>
      <c r="C253" t="str">
        <f>IFERROR(IF(JHers!C107="","",JHers!C107),"")</f>
        <v>Portfolio Manager</v>
      </c>
      <c r="D253" t="str">
        <f>IFERROR(IF(JHers!D107="","",JHers!D107),"")</f>
        <v>Renta variable</v>
      </c>
      <c r="E253" t="str">
        <f>IFERROR(IF(JHers!E107="","",JHers!E107),"")</f>
        <v>European equities &amp; global smaller companies</v>
      </c>
      <c r="F253" t="str">
        <f>IFERROR(IF(JHers!F107="","",JHers!F107),"")</f>
        <v>Europa / Global</v>
      </c>
      <c r="G253" t="str">
        <f>IFERROR(IF(JHers!G107="","",JHers!G107),"")</f>
        <v>Renta variable europea y small caps globales</v>
      </c>
      <c r="H253" t="str">
        <f>IFERROR(IF(JHers!H107="","",JHers!H107),"")</f>
        <v>Global Smaller Companies &amp; European Equities strategies</v>
      </c>
      <c r="I253" t="str">
        <f>IFERROR(IF(JHers!I107="","",JHers!I107),"")</f>
        <v>NO_DATO</v>
      </c>
      <c r="J253" t="str">
        <f>IFERROR(IF(JHers!J107="","",JHers!J107),"")</f>
        <v>https://www.janushenderson.com/en-gb/adviser/bio/nick-sheridan/</v>
      </c>
      <c r="K253" t="str">
        <f>IFERROR(IF(JHers!K107="","",JHers!K107),"")</f>
        <v>NO_DATO</v>
      </c>
    </row>
    <row r="254" spans="1:11" x14ac:dyDescent="0.3">
      <c r="A254" t="str">
        <f>IFERROR(IF(JHers!A108="","",JHers!A108),"")</f>
        <v>Nicolas Scherf</v>
      </c>
      <c r="B254" t="str">
        <f>IFERROR(IF(JHers!B108="","",JHers!B108),"")</f>
        <v>Portfolio Manager</v>
      </c>
      <c r="C254" t="str">
        <f>IFERROR(IF(JHers!C108="","",JHers!C108),"")</f>
        <v>Portfolio Manager</v>
      </c>
      <c r="D254" t="str">
        <f>IFERROR(IF(JHers!D108="","",JHers!D108),"")</f>
        <v>Renta variable</v>
      </c>
      <c r="E254" t="str">
        <f>IFERROR(IF(JHers!E108="","",JHers!E108),"")</f>
        <v>Global property equities</v>
      </c>
      <c r="F254" t="str">
        <f>IFERROR(IF(JHers!F108="","",JHers!F108),"")</f>
        <v>Global</v>
      </c>
      <c r="G254" t="str">
        <f>IFERROR(IF(JHers!G108="","",JHers!G108),"")</f>
        <v>Inmobiliario cotizado global</v>
      </c>
      <c r="H254" t="str">
        <f>IFERROR(IF(JHers!H108="","",JHers!H108),"")</f>
        <v>Global Property Equities strategies</v>
      </c>
      <c r="I254" t="str">
        <f>IFERROR(IF(JHers!I108="","",JHers!I108),"")</f>
        <v>NO_DATO</v>
      </c>
      <c r="J254" t="str">
        <f>IFERROR(IF(JHers!J108="","",JHers!J108),"")</f>
        <v>https://www.janushenderson.com/en-us/advisor/bio/nicolas-scherf/</v>
      </c>
      <c r="K254" t="str">
        <f>IFERROR(IF(JHers!K108="","",JHers!K108),"")</f>
        <v>NO_DATO</v>
      </c>
    </row>
    <row r="255" spans="1:11" x14ac:dyDescent="0.3">
      <c r="A255" t="str">
        <f>IFERROR(IF(JHers!#REF!="","",JHers!#REF!),"")</f>
        <v/>
      </c>
      <c r="B255" t="str">
        <f>IFERROR(IF(JHers!#REF!="","",JHers!#REF!),"")</f>
        <v/>
      </c>
      <c r="C255" t="str">
        <f>IFERROR(IF(JHers!#REF!="","",JHers!#REF!),"")</f>
        <v/>
      </c>
      <c r="D255" t="str">
        <f>IFERROR(IF(JHers!#REF!="","",JHers!#REF!),"")</f>
        <v/>
      </c>
      <c r="E255" t="str">
        <f>IFERROR(IF(JHers!#REF!="","",JHers!#REF!),"")</f>
        <v/>
      </c>
      <c r="F255" t="str">
        <f>IFERROR(IF(JHers!#REF!="","",JHers!#REF!),"")</f>
        <v/>
      </c>
      <c r="G255" t="str">
        <f>IFERROR(IF(JHers!#REF!="","",JHers!#REF!),"")</f>
        <v/>
      </c>
      <c r="H255" t="str">
        <f>IFERROR(IF(JHers!#REF!="","",JHers!#REF!),"")</f>
        <v/>
      </c>
      <c r="I255" t="str">
        <f>IFERROR(IF(JHers!#REF!="","",JHers!#REF!),"")</f>
        <v/>
      </c>
      <c r="J255" t="str">
        <f>IFERROR(IF(JHers!#REF!="","",JHers!#REF!),"")</f>
        <v/>
      </c>
      <c r="K255" t="str">
        <f>IFERROR(IF(JHers!#REF!="","",JHers!#REF!),"")</f>
        <v/>
      </c>
    </row>
    <row r="256" spans="1:11" x14ac:dyDescent="0.3">
      <c r="A256" t="str">
        <f>IFERROR(IF(JHers!A109="","",JHers!A109),"")</f>
        <v>Oliver Bardot, CFA</v>
      </c>
      <c r="B256" t="str">
        <f>IFERROR(IF(JHers!B109="","",JHers!B109),"")</f>
        <v>Portfolio Manager</v>
      </c>
      <c r="C256" t="str">
        <f>IFERROR(IF(JHers!C109="","",JHers!C109),"")</f>
        <v>Portfolio Manager</v>
      </c>
      <c r="D256" t="str">
        <f>IFERROR(IF(JHers!D109="","",JHers!D109),"")</f>
        <v>Renta fija</v>
      </c>
      <c r="E256" t="str">
        <f>IFERROR(IF(JHers!E109="","",JHers!E109),"")</f>
        <v>Global bonds / strategic bond</v>
      </c>
      <c r="F256" t="str">
        <f>IFERROR(IF(JHers!F109="","",JHers!F109),"")</f>
        <v>Global</v>
      </c>
      <c r="G256" t="str">
        <f>IFERROR(IF(JHers!G109="","",JHers!G109),"")</f>
        <v>Bonos globales / crédito IG y HY</v>
      </c>
      <c r="H256" t="str">
        <f>IFERROR(IF(JHers!H109="","",JHers!H109),"")</f>
        <v>Strategic Bond &amp; Global Bond strategies</v>
      </c>
      <c r="I256" t="str">
        <f>IFERROR(IF(JHers!I109="","",JHers!I109),"")</f>
        <v>NO_DATO</v>
      </c>
      <c r="J256" t="str">
        <f>IFERROR(IF(JHers!J109="","",JHers!J109),"")</f>
        <v>https://www.janushenderson.com/corporate/bio/oliver-bardot-cfa/</v>
      </c>
      <c r="K256" t="str">
        <f>IFERROR(IF(JHers!K109="","",JHers!K109),"")</f>
        <v>NO_DATO</v>
      </c>
    </row>
    <row r="257" spans="1:11" x14ac:dyDescent="0.3">
      <c r="A257" t="str">
        <f>IFERROR(IF(JHers!A110="","",JHers!A110),"")</f>
        <v>Ollie Beckett</v>
      </c>
      <c r="B257" t="str">
        <f>IFERROR(IF(JHers!B110="","",JHers!B110),"")</f>
        <v>Portfolio Manager</v>
      </c>
      <c r="C257" t="str">
        <f>IFERROR(IF(JHers!C110="","",JHers!C110),"")</f>
        <v>Portfolio Manager</v>
      </c>
      <c r="D257" t="str">
        <f>IFERROR(IF(JHers!D110="","",JHers!D110),"")</f>
        <v>Renta variable</v>
      </c>
      <c r="E257" t="str">
        <f>IFERROR(IF(JHers!E110="","",JHers!E110),"")</f>
        <v>European equities / small &amp; mid cap</v>
      </c>
      <c r="F257" t="str">
        <f>IFERROR(IF(JHers!F110="","",JHers!F110),"")</f>
        <v>Europa</v>
      </c>
      <c r="G257" t="str">
        <f>IFERROR(IF(JHers!G110="","",JHers!G110),"")</f>
        <v>Renta variable europea / small caps</v>
      </c>
      <c r="H257" t="str">
        <f>IFERROR(IF(JHers!H110="","",JHers!H110),"")</f>
        <v>European Equities strategies</v>
      </c>
      <c r="I257" t="str">
        <f>IFERROR(IF(JHers!I110="","",JHers!I110),"")</f>
        <v>NO_DATO</v>
      </c>
      <c r="J257" t="str">
        <f>IFERROR(IF(JHers!J110="","",JHers!J110),"")</f>
        <v>https://www.janushenderson.com/corporate/bio/ollie-beckett/</v>
      </c>
      <c r="K257" t="str">
        <f>IFERROR(IF(JHers!K110="","",JHers!K110),"")</f>
        <v>NO_DATO</v>
      </c>
    </row>
    <row r="258" spans="1:11" x14ac:dyDescent="0.3">
      <c r="A258" t="str">
        <f>IFERROR(IF(JHers!A111="","",JHers!A111),"")</f>
        <v>Priyank Shah</v>
      </c>
      <c r="B258" t="str">
        <f>IFERROR(IF(JHers!B111="","",JHers!B111),"")</f>
        <v>Portfolio Manager</v>
      </c>
      <c r="C258" t="str">
        <f>IFERROR(IF(JHers!C111="","",JHers!C111),"")</f>
        <v>Portfolio Manager</v>
      </c>
      <c r="D258" t="str">
        <f>IFERROR(IF(JHers!D111="","",JHers!D111),"")</f>
        <v>Renta fija</v>
      </c>
      <c r="E258" t="str">
        <f>IFERROR(IF(JHers!E111="","",JHers!E111),"")</f>
        <v>Global short duration &amp; liquidity</v>
      </c>
      <c r="F258" t="str">
        <f>IFERROR(IF(JHers!F111="","",JHers!F111),"")</f>
        <v>Global</v>
      </c>
      <c r="G258" t="str">
        <f>IFERROR(IF(JHers!G111="","",JHers!G111),"")</f>
        <v>Renta fija corto plazo / gestión de tipos y divisas</v>
      </c>
      <c r="H258" t="str">
        <f>IFERROR(IF(JHers!H111="","",JHers!H111),"")</f>
        <v>Global Short Duration &amp; Liquidity strategies</v>
      </c>
      <c r="I258" t="str">
        <f>IFERROR(IF(JHers!I111="","",JHers!I111),"")</f>
        <v>NO_DATO</v>
      </c>
      <c r="J258" t="str">
        <f>IFERROR(IF(JHers!J111="","",JHers!J111),"")</f>
        <v>https://www.janushenderson.com/en-gb/investor/bio/priyank-shah/</v>
      </c>
      <c r="K258" t="str">
        <f>IFERROR(IF(JHers!K111="","",JHers!K111),"")</f>
        <v>NO_DATO</v>
      </c>
    </row>
    <row r="259" spans="1:11" x14ac:dyDescent="0.3">
      <c r="A259" t="str">
        <f>IFERROR(IF(JHers!A112="","",JHers!A112),"")</f>
        <v>Richard Clode, CFA</v>
      </c>
      <c r="B259" t="str">
        <f>IFERROR(IF(JHers!B112="","",JHers!B112),"")</f>
        <v>Portfolio Manager</v>
      </c>
      <c r="C259" t="str">
        <f>IFERROR(IF(JHers!C112="","",JHers!C112),"")</f>
        <v>Portfolio Manager</v>
      </c>
      <c r="D259" t="str">
        <f>IFERROR(IF(JHers!D112="","",JHers!D112),"")</f>
        <v>Renta variable</v>
      </c>
      <c r="E259" t="str">
        <f>IFERROR(IF(JHers!E112="","",JHers!E112),"")</f>
        <v>Global technology equities</v>
      </c>
      <c r="F259" t="str">
        <f>IFERROR(IF(JHers!F112="","",JHers!F112),"")</f>
        <v>Global</v>
      </c>
      <c r="G259" t="str">
        <f>IFERROR(IF(JHers!G112="","",JHers!G112),"")</f>
        <v>Tecnología</v>
      </c>
      <c r="H259" t="str">
        <f>IFERROR(IF(JHers!H112="","",JHers!H112),"")</f>
        <v>Global Technology Leaders strategies</v>
      </c>
      <c r="I259" t="str">
        <f>IFERROR(IF(JHers!I112="","",JHers!I112),"")</f>
        <v>NO_DATO</v>
      </c>
      <c r="J259" t="str">
        <f>IFERROR(IF(JHers!J112="","",JHers!J112),"")</f>
        <v>https://www.janushenderson.com/en-gb/investor/bio/richard-clode/</v>
      </c>
      <c r="K259" t="str">
        <f>IFERROR(IF(JHers!K112="","",JHers!K112),"")</f>
        <v>NO_DATO</v>
      </c>
    </row>
    <row r="260" spans="1:11" x14ac:dyDescent="0.3">
      <c r="A260" t="str">
        <f>IFERROR(IF(JHers!A113="","",JHers!A113),"")</f>
        <v>Robert Roszkowski</v>
      </c>
      <c r="B260" t="str">
        <f>IFERROR(IF(JHers!B113="","",JHers!B113),"")</f>
        <v>Portfolio Manager</v>
      </c>
      <c r="C260" t="str">
        <f>IFERROR(IF(JHers!C113="","",JHers!C113),"")</f>
        <v>Portfolio Manager</v>
      </c>
      <c r="D260" t="str">
        <f>IFERROR(IF(JHers!D113="","",JHers!D113),"")</f>
        <v>Renta fija</v>
      </c>
      <c r="E260" t="str">
        <f>IFERROR(IF(JHers!E113="","",JHers!E113),"")</f>
        <v>Global short duration &amp; liquidity</v>
      </c>
      <c r="F260" t="str">
        <f>IFERROR(IF(JHers!F113="","",JHers!F113),"")</f>
        <v>Global</v>
      </c>
      <c r="G260" t="str">
        <f>IFERROR(IF(JHers!G113="","",JHers!G113),"")</f>
        <v>Renta fija corto plazo / modelos cuantitativos</v>
      </c>
      <c r="H260" t="str">
        <f>IFERROR(IF(JHers!H113="","",JHers!H113),"")</f>
        <v>Global Short Duration &amp; Liquidity strategies</v>
      </c>
      <c r="I260" t="str">
        <f>IFERROR(IF(JHers!I113="","",JHers!I113),"")</f>
        <v>NO_DATO</v>
      </c>
      <c r="J260" t="str">
        <f>IFERROR(IF(JHers!J113="","",JHers!J113),"")</f>
        <v>https://www.janushenderson.com/en-us/institutional/bio/robert-roszkowski/</v>
      </c>
      <c r="K260" t="str">
        <f>IFERROR(IF(JHers!K113="","",JHers!K113),"")</f>
        <v>NO_DATO</v>
      </c>
    </row>
    <row r="261" spans="1:11" x14ac:dyDescent="0.3">
      <c r="A261" t="str">
        <f>IFERROR(IF(JHers!A114="","",JHers!A114),"")</f>
        <v>Robert Schramm-Fuchs</v>
      </c>
      <c r="B261" t="str">
        <f>IFERROR(IF(JHers!B114="","",JHers!B114),"")</f>
        <v>Portfolio Manager</v>
      </c>
      <c r="C261" t="str">
        <f>IFERROR(IF(JHers!C114="","",JHers!C114),"")</f>
        <v>Portfolio Manager</v>
      </c>
      <c r="D261" t="str">
        <f>IFERROR(IF(JHers!D114="","",JHers!D114),"")</f>
        <v>Renta variable</v>
      </c>
      <c r="E261" t="str">
        <f>IFERROR(IF(JHers!E114="","",JHers!E114),"")</f>
        <v>European large-cap equities</v>
      </c>
      <c r="F261" t="str">
        <f>IFERROR(IF(JHers!F114="","",JHers!F114),"")</f>
        <v>Europa</v>
      </c>
      <c r="G261" t="str">
        <f>IFERROR(IF(JHers!G114="","",JHers!G114),"")</f>
        <v>Renta variable europea / large cap</v>
      </c>
      <c r="H261" t="str">
        <f>IFERROR(IF(JHers!H114="","",JHers!H114),"")</f>
        <v>European Large Cap Equities strategies</v>
      </c>
      <c r="I261" t="str">
        <f>IFERROR(IF(JHers!I114="","",JHers!I114),"")</f>
        <v>NO_DATO</v>
      </c>
      <c r="J261" t="str">
        <f>IFERROR(IF(JHers!J114="","",JHers!J114),"")</f>
        <v>https://www.janushenderson.com/en-gb/investor/bio/robert-schramm-fuchs/</v>
      </c>
      <c r="K261" t="str">
        <f>IFERROR(IF(JHers!K114="","",JHers!K114),"")</f>
        <v>NO_DATO</v>
      </c>
    </row>
    <row r="262" spans="1:11" x14ac:dyDescent="0.3">
      <c r="A262" t="str">
        <f>IFERROR(IF(JHers!A115="","",JHers!A115),"")</f>
        <v>Rory Stokes, CFA</v>
      </c>
      <c r="B262" t="str">
        <f>IFERROR(IF(JHers!B115="","",JHers!B115),"")</f>
        <v>Portfolio Manager</v>
      </c>
      <c r="C262" t="str">
        <f>IFERROR(IF(JHers!C115="","",JHers!C115),"")</f>
        <v>Portfolio Manager</v>
      </c>
      <c r="D262" t="str">
        <f>IFERROR(IF(JHers!D115="","",JHers!D115),"")</f>
        <v>Renta variable</v>
      </c>
      <c r="E262" t="str">
        <f>IFERROR(IF(JHers!E115="","",JHers!E115),"")</f>
        <v>European equities</v>
      </c>
      <c r="F262" t="str">
        <f>IFERROR(IF(JHers!F115="","",JHers!F115),"")</f>
        <v>Europa</v>
      </c>
      <c r="G262" t="str">
        <f>IFERROR(IF(JHers!G115="","",JHers!G115),"")</f>
        <v>Renta variable europea</v>
      </c>
      <c r="H262" t="str">
        <f>IFERROR(IF(JHers!H115="","",JHers!H115),"")</f>
        <v>European Equities strategies</v>
      </c>
      <c r="I262" t="str">
        <f>IFERROR(IF(JHers!I115="","",JHers!I115),"")</f>
        <v>NO_DATO</v>
      </c>
      <c r="J262" t="str">
        <f>IFERROR(IF(JHers!J115="","",JHers!J115),"")</f>
        <v>https://www.janushenderson.com/latam-other/advisor/bio/rory-stokes-cfa/</v>
      </c>
      <c r="K262" t="str">
        <f>IFERROR(IF(JHers!K115="","",JHers!K115),"")</f>
        <v>NO_DATO</v>
      </c>
    </row>
    <row r="263" spans="1:11" x14ac:dyDescent="0.3">
      <c r="A263" t="str">
        <f>IFERROR(IF(JHers!A116="","",JHers!A116),"")</f>
        <v>Sat Duhra</v>
      </c>
      <c r="B263" t="str">
        <f>IFERROR(IF(JHers!B116="","",JHers!B116),"")</f>
        <v>Portfolio Manager</v>
      </c>
      <c r="C263" t="str">
        <f>IFERROR(IF(JHers!C116="","",JHers!C116),"")</f>
        <v>Portfolio Manager</v>
      </c>
      <c r="D263" t="str">
        <f>IFERROR(IF(JHers!D116="","",JHers!D116),"")</f>
        <v>Renta variable</v>
      </c>
      <c r="E263" t="str">
        <f>IFERROR(IF(JHers!E116="","",JHers!E116),"")</f>
        <v>Asia ex Japan equities</v>
      </c>
      <c r="F263" t="str">
        <f>IFERROR(IF(JHers!F116="","",JHers!F116),"")</f>
        <v>Asia Pacífico (ex Japón)</v>
      </c>
      <c r="G263" t="str">
        <f>IFERROR(IF(JHers!G116="","",JHers!G116),"")</f>
        <v>Renta variable asiática</v>
      </c>
      <c r="H263" t="str">
        <f>IFERROR(IF(JHers!H116="","",JHers!H116),"")</f>
        <v>Asia ex Japan Equity strategies</v>
      </c>
      <c r="I263" t="str">
        <f>IFERROR(IF(JHers!I116="","",JHers!I116),"")</f>
        <v>NO_DATO</v>
      </c>
      <c r="J263" t="str">
        <f>IFERROR(IF(JHers!J116="","",JHers!J116),"")</f>
        <v>https://www.janushenderson.com/en-gb/adviser/bio/sat-duhra/</v>
      </c>
      <c r="K263" t="str">
        <f>IFERROR(IF(JHers!K116="","",JHers!K116),"")</f>
        <v>NO_DATO</v>
      </c>
    </row>
    <row r="264" spans="1:11" x14ac:dyDescent="0.3">
      <c r="A264" t="str">
        <f>IFERROR(IF(JHers!A117="","",JHers!A117),"")</f>
        <v>Scott Stutzman, CFA</v>
      </c>
      <c r="B264" t="str">
        <f>IFERROR(IF(JHers!B117="","",JHers!B117),"")</f>
        <v>Portfolio Manager | Research Analyst</v>
      </c>
      <c r="C264" t="str">
        <f>IFERROR(IF(JHers!C117="","",JHers!C117),"")</f>
        <v>Portfolio Manager + Analista</v>
      </c>
      <c r="D264" t="str">
        <f>IFERROR(IF(JHers!D117="","",JHers!D117),"")</f>
        <v>Renta variable</v>
      </c>
      <c r="E264" t="str">
        <f>IFERROR(IF(JHers!E117="","",JHers!E117),"")</f>
        <v>US small/mid-cap growth equities</v>
      </c>
      <c r="F264" t="str">
        <f>IFERROR(IF(JHers!F117="","",JHers!F117),"")</f>
        <v>Estados Unidos</v>
      </c>
      <c r="G264" t="str">
        <f>IFERROR(IF(JHers!G117="","",JHers!G117),"")</f>
        <v>Small &amp; mid cap growth / industriales y materiales</v>
      </c>
      <c r="H264" t="str">
        <f>IFERROR(IF(JHers!H117="","",JHers!H117),"")</f>
        <v>US Small/Mid-Cap Growth strategies</v>
      </c>
      <c r="I264" t="str">
        <f>IFERROR(IF(JHers!I117="","",JHers!I117),"")</f>
        <v>NO_DATO</v>
      </c>
      <c r="J264" t="str">
        <f>IFERROR(IF(JHers!J117="","",JHers!J117),"")</f>
        <v>https://www.janushenderson.com/en-us/advisor/bio/scott-stutzman-cfa/</v>
      </c>
      <c r="K264" t="str">
        <f>IFERROR(IF(JHers!K117="","",JHers!K117),"")</f>
        <v>NO_DATO</v>
      </c>
    </row>
    <row r="265" spans="1:11" x14ac:dyDescent="0.3">
      <c r="A265" t="str">
        <f>IFERROR(IF(JHers!A118="","",JHers!A118),"")</f>
        <v>Seth Meyer, CFA</v>
      </c>
      <c r="B265" t="str">
        <f>IFERROR(IF(JHers!B118="","",JHers!B118),"")</f>
        <v>Global Head of Client Portfolio Management | Portfolio Manager</v>
      </c>
      <c r="C265" t="str">
        <f>IFERROR(IF(JHers!C118="","",JHers!C118),"")</f>
        <v>Portfolio Manager</v>
      </c>
      <c r="D265" t="str">
        <f>IFERROR(IF(JHers!D118="","",JHers!D118),"")</f>
        <v>Renta variable / Renta fija</v>
      </c>
      <c r="E265" t="str">
        <f>IFERROR(IF(JHers!E118="","",JHers!E118),"")</f>
        <v>Client portfolio management (equity &amp; FI)</v>
      </c>
      <c r="F265" t="str">
        <f>IFERROR(IF(JHers!F118="","",JHers!F118),"")</f>
        <v>Global</v>
      </c>
      <c r="G265" t="str">
        <f>IFERROR(IF(JHers!G118="","",JHers!G118),"")</f>
        <v>Comunicación con clientes / estrategia comercial multi-clase de activo</v>
      </c>
      <c r="H265" t="str">
        <f>IFERROR(IF(JHers!H118="","",JHers!H118),"")</f>
        <v>NO_DATO</v>
      </c>
      <c r="I265" t="str">
        <f>IFERROR(IF(JHers!I118="","",JHers!I118),"")</f>
        <v>NO_DATO</v>
      </c>
      <c r="J265" t="str">
        <f>IFERROR(IF(JHers!J118="","",JHers!J118),"")</f>
        <v>https://www.janushenderson.com/en-us/advisor/bio/seth-meyer-cfa/</v>
      </c>
      <c r="K265" t="str">
        <f>IFERROR(IF(JHers!K118="","",JHers!K118),"")</f>
        <v>NO_DATO</v>
      </c>
    </row>
    <row r="266" spans="1:11" x14ac:dyDescent="0.3">
      <c r="A266" t="str">
        <f>IFERROR(IF(JHers!A119="","",JHers!A119),"")</f>
        <v>Shan Kwee, CFA</v>
      </c>
      <c r="B266" t="str">
        <f>IFERROR(IF(JHers!B119="","",JHers!B119),"")</f>
        <v>Portfolio Manager</v>
      </c>
      <c r="C266" t="str">
        <f>IFERROR(IF(JHers!C119="","",JHers!C119),"")</f>
        <v>Portfolio Manager</v>
      </c>
      <c r="D266" t="str">
        <f>IFERROR(IF(JHers!D119="","",JHers!D119),"")</f>
        <v>Renta fija</v>
      </c>
      <c r="E266" t="str">
        <f>IFERROR(IF(JHers!E119="","",JHers!E119),"")</f>
        <v>Australian fixed interest / credit ESG</v>
      </c>
      <c r="F266" t="str">
        <f>IFERROR(IF(JHers!F119="","",JHers!F119),"")</f>
        <v>Australia</v>
      </c>
      <c r="G266" t="str">
        <f>IFERROR(IF(JHers!G119="","",JHers!G119),"")</f>
        <v>Renta fija australiana / crédito ESG</v>
      </c>
      <c r="H266" t="str">
        <f>IFERROR(IF(JHers!H119="","",JHers!H119),"")</f>
        <v>Australian Fixed Interest strategies</v>
      </c>
      <c r="I266" t="str">
        <f>IFERROR(IF(JHers!I119="","",JHers!I119),"")</f>
        <v>NO_DATO</v>
      </c>
      <c r="J266" t="str">
        <f>IFERROR(IF(JHers!J119="","",JHers!J119),"")</f>
        <v>https://www.janushenderson.com/en-us/advisor/bio/shan-kwee-cfa/</v>
      </c>
      <c r="K266" t="str">
        <f>IFERROR(IF(JHers!K119="","",JHers!K119),"")</f>
        <v>NO_DATO</v>
      </c>
    </row>
    <row r="267" spans="1:11" x14ac:dyDescent="0.3">
      <c r="A267" t="str">
        <f>IFERROR(IF(JHers!A120="","",JHers!A120),"")</f>
        <v>Shivam Sedani, CFA</v>
      </c>
      <c r="B267" t="str">
        <f>IFERROR(IF(JHers!B120="","",JHers!B120),"")</f>
        <v>Portfolio Manager</v>
      </c>
      <c r="C267" t="str">
        <f>IFERROR(IF(JHers!C120="","",JHers!C120),"")</f>
        <v>Portfolio Manager</v>
      </c>
      <c r="D267" t="str">
        <f>IFERROR(IF(JHers!D120="","",JHers!D120),"")</f>
        <v>Renta variable</v>
      </c>
      <c r="E267" t="str">
        <f>IFERROR(IF(JHers!E120="","",JHers!E120),"")</f>
        <v>UK equities</v>
      </c>
      <c r="F267" t="str">
        <f>IFERROR(IF(JHers!F120="","",JHers!F120),"")</f>
        <v>Reino Unido</v>
      </c>
      <c r="G267" t="str">
        <f>IFERROR(IF(JHers!G120="","",JHers!G120),"")</f>
        <v>Renta variable británica</v>
      </c>
      <c r="H267" t="str">
        <f>IFERROR(IF(JHers!H120="","",JHers!H120),"")</f>
        <v>UK Equities strategies</v>
      </c>
      <c r="I267" t="str">
        <f>IFERROR(IF(JHers!I120="","",JHers!I120),"")</f>
        <v>NO_DATO</v>
      </c>
      <c r="J267" t="str">
        <f>IFERROR(IF(JHers!J120="","",JHers!J120),"")</f>
        <v>https://www.janushenderson.com/en-gb/investor/bio/shivam-sedani/</v>
      </c>
      <c r="K267" t="str">
        <f>IFERROR(IF(JHers!K120="","",JHers!K120),"")</f>
        <v>NO_DATO</v>
      </c>
    </row>
    <row r="268" spans="1:11" x14ac:dyDescent="0.3">
      <c r="A268" t="str">
        <f>IFERROR(IF(JHers!A121="","",JHers!A121),"")</f>
        <v>Sorin Pirău, CFA</v>
      </c>
      <c r="B268" t="str">
        <f>IFERROR(IF(JHers!B121="","",JHers!B121),"")</f>
        <v>Portfolio Manager</v>
      </c>
      <c r="C268" t="str">
        <f>IFERROR(IF(JHers!C121="","",JHers!C121),"")</f>
        <v>Portfolio Manager</v>
      </c>
      <c r="D268" t="str">
        <f>IFERROR(IF(JHers!D121="","",JHers!D121),"")</f>
        <v>Renta fija</v>
      </c>
      <c r="E268" t="str">
        <f>IFERROR(IF(JHers!E121="","",JHers!E121),"")</f>
        <v>Emerging Markets Debt Hard Currency</v>
      </c>
      <c r="F268" t="str">
        <f>IFERROR(IF(JHers!F121="","",JHers!F121),"")</f>
        <v>Mercados emergentes</v>
      </c>
      <c r="G268" t="str">
        <f>IFERROR(IF(JHers!G121="","",JHers!G121),"")</f>
        <v>Deuda emergente en divisa fuerte</v>
      </c>
      <c r="H268" t="str">
        <f>IFERROR(IF(JHers!H121="","",JHers!H121),"")</f>
        <v>EMD Hard Currency strategies</v>
      </c>
      <c r="I268" t="str">
        <f>IFERROR(IF(JHers!I121="","",JHers!I121),"")</f>
        <v>NO_DATO</v>
      </c>
      <c r="J268" t="str">
        <f>IFERROR(IF(JHers!J121="","",JHers!J121),"")</f>
        <v>https://www.janushenderson.com/corporate/bio/sorin-pirau-cfa/</v>
      </c>
      <c r="K268" t="str">
        <f>IFERROR(IF(JHers!K121="","",JHers!K121),"")</f>
        <v>NO_DATO</v>
      </c>
    </row>
    <row r="269" spans="1:11" x14ac:dyDescent="0.3">
      <c r="A269" t="str">
        <f>IFERROR(IF(JHers!A122="","",JHers!A122),"")</f>
        <v>Taf Mugwagwa, PhD</v>
      </c>
      <c r="B269" t="str">
        <f>IFERROR(IF(JHers!B122="","",JHers!B122),"")</f>
        <v>Portfolio Manager</v>
      </c>
      <c r="C269" t="str">
        <f>IFERROR(IF(JHers!C122="","",JHers!C122),"")</f>
        <v>Portfolio Manager</v>
      </c>
      <c r="D269" t="str">
        <f>IFERROR(IF(JHers!D122="","",JHers!D122),"")</f>
        <v>Renta fija</v>
      </c>
      <c r="E269" t="str">
        <f>IFERROR(IF(JHers!E122="","",JHers!E122),"")</f>
        <v>Australian fixed interest</v>
      </c>
      <c r="F269" t="str">
        <f>IFERROR(IF(JHers!F122="","",JHers!F122),"")</f>
        <v>Australia</v>
      </c>
      <c r="G269" t="str">
        <f>IFERROR(IF(JHers!G122="","",JHers!G122),"")</f>
        <v>Renta fija australiana / duración y crédito</v>
      </c>
      <c r="H269" t="str">
        <f>IFERROR(IF(JHers!H122="","",JHers!H122),"")</f>
        <v>Australian Fixed Interest strategies</v>
      </c>
      <c r="I269" t="str">
        <f>IFERROR(IF(JHers!I122="","",JHers!I122),"")</f>
        <v>NO_DATO</v>
      </c>
      <c r="J269" t="str">
        <f>IFERROR(IF(JHers!J122="","",JHers!J122),"")</f>
        <v>https://www.janushenderson.com/en-au/investor/bio/taf-mugwagwa/</v>
      </c>
      <c r="K269" t="str">
        <f>IFERROR(IF(JHers!K122="","",JHers!K122),"")</f>
        <v>NO_DATO</v>
      </c>
    </row>
    <row r="270" spans="1:11" x14ac:dyDescent="0.3">
      <c r="A270" t="str">
        <f>IFERROR(IF(JHers!A123="","",JHers!A123),"")</f>
        <v>Tal Lomnitzer, CFA</v>
      </c>
      <c r="B270" t="str">
        <f>IFERROR(IF(JHers!B123="","",JHers!B123),"")</f>
        <v>Senior Investment Manager</v>
      </c>
      <c r="C270" t="str">
        <f>IFERROR(IF(JHers!C123="","",JHers!C123),"")</f>
        <v>Otro</v>
      </c>
      <c r="D270" t="str">
        <f>IFERROR(IF(JHers!D123="","",JHers!D123),"")</f>
        <v>Renta variable</v>
      </c>
      <c r="E270" t="str">
        <f>IFERROR(IF(JHers!E123="","",JHers!E123),"")</f>
        <v>Global sustainable equity</v>
      </c>
      <c r="F270" t="str">
        <f>IFERROR(IF(JHers!F123="","",JHers!F123),"")</f>
        <v>Global</v>
      </c>
      <c r="G270" t="str">
        <f>IFERROR(IF(JHers!G123="","",JHers!G123),"")</f>
        <v>ESG / sostenibilidad / recursos naturales</v>
      </c>
      <c r="H270" t="str">
        <f>IFERROR(IF(JHers!H123="","",JHers!H123),"")</f>
        <v>Global Sustainable Equity strategies</v>
      </c>
      <c r="I270" t="str">
        <f>IFERROR(IF(JHers!I123="","",JHers!I123),"")</f>
        <v>NO_DATO</v>
      </c>
      <c r="J270" t="str">
        <f>IFERROR(IF(JHers!J123="","",JHers!J123),"")</f>
        <v>https://www.janushenderson.com/en-au/adviser/bio/tal-lomnitzer-cfa/</v>
      </c>
      <c r="K270" t="str">
        <f>IFERROR(IF(JHers!K123="","",JHers!K123),"")</f>
        <v>NO_DATO</v>
      </c>
    </row>
    <row r="271" spans="1:11" x14ac:dyDescent="0.3">
      <c r="A271" t="str">
        <f>IFERROR(IF(JHers!A124="","",JHers!A124),"")</f>
        <v>Thomas Haugaard</v>
      </c>
      <c r="B271" t="str">
        <f>IFERROR(IF(JHers!B124="","",JHers!B124),"")</f>
        <v>Portfolio Manager</v>
      </c>
      <c r="C271" t="str">
        <f>IFERROR(IF(JHers!C124="","",JHers!C124),"")</f>
        <v>Portfolio Manager</v>
      </c>
      <c r="D271" t="str">
        <f>IFERROR(IF(JHers!D124="","",JHers!D124),"")</f>
        <v>Renta fija</v>
      </c>
      <c r="E271" t="str">
        <f>IFERROR(IF(JHers!E124="","",JHers!E124),"")</f>
        <v>Emerging Markets Debt Hard Currency</v>
      </c>
      <c r="F271" t="str">
        <f>IFERROR(IF(JHers!F124="","",JHers!F124),"")</f>
        <v>Mercados emergentes</v>
      </c>
      <c r="G271" t="str">
        <f>IFERROR(IF(JHers!G124="","",JHers!G124),"")</f>
        <v>Deuda emergente en divisa fuerte</v>
      </c>
      <c r="H271" t="str">
        <f>IFERROR(IF(JHers!H124="","",JHers!H124),"")</f>
        <v>EMD Hard Currency strategies</v>
      </c>
      <c r="I271" t="str">
        <f>IFERROR(IF(JHers!I124="","",JHers!I124),"")</f>
        <v>NO_DATO</v>
      </c>
      <c r="J271" t="str">
        <f>IFERROR(IF(JHers!J124="","",JHers!J124),"")</f>
        <v>https://www.janushenderson.com/en-be/advisor/bio/thomas-haugaard/</v>
      </c>
      <c r="K271" t="str">
        <f>IFERROR(IF(JHers!K124="","",JHers!K124),"")</f>
        <v>NO_DATO</v>
      </c>
    </row>
    <row r="272" spans="1:11" x14ac:dyDescent="0.3">
      <c r="A272" t="str">
        <f>IFERROR(IF(JHers!A125="","",JHers!A125),"")</f>
        <v>Tihana Ibrahimpasic, CFA</v>
      </c>
      <c r="B272" t="str">
        <f>IFERROR(IF(JHers!B125="","",JHers!B125),"")</f>
        <v>Portfolio Manager</v>
      </c>
      <c r="C272" t="str">
        <f>IFERROR(IF(JHers!C125="","",JHers!C125),"")</f>
        <v>Portfolio Manager</v>
      </c>
      <c r="D272" t="str">
        <f>IFERROR(IF(JHers!D125="","",JHers!D125),"")</f>
        <v>Multiactivo</v>
      </c>
      <c r="E272" t="str">
        <f>IFERROR(IF(JHers!E125="","",JHers!E125),"")</f>
        <v>Multi-asset</v>
      </c>
      <c r="F272" t="str">
        <f>IFERROR(IF(JHers!F125="","",JHers!F125),"")</f>
        <v>Global</v>
      </c>
      <c r="G272" t="str">
        <f>IFERROR(IF(JHers!G125="","",JHers!G125),"")</f>
        <v>Multiactivo / asignación táctica de activos</v>
      </c>
      <c r="H272" t="str">
        <f>IFERROR(IF(JHers!H125="","",JHers!H125),"")</f>
        <v>Multi-Asset strategies</v>
      </c>
      <c r="I272" t="str">
        <f>IFERROR(IF(JHers!I125="","",JHers!I125),"")</f>
        <v>NO_DATO</v>
      </c>
      <c r="J272" t="str">
        <f>IFERROR(IF(JHers!J125="","",JHers!J125),"")</f>
        <v>https://www.janushenderson.com/en-ie/advisor/bio/tihana-ibrahimpasic-cfa/</v>
      </c>
      <c r="K272" t="str">
        <f>IFERROR(IF(JHers!K125="","",JHers!K125),"")</f>
        <v>NO_DATO</v>
      </c>
    </row>
    <row r="273" spans="1:11" x14ac:dyDescent="0.3">
      <c r="A273" t="str">
        <f>IFERROR(IF(JHers!A126="","",JHers!A126),"")</f>
        <v>Tim Gibson</v>
      </c>
      <c r="B273" t="str">
        <f>IFERROR(IF(JHers!B126="","",JHers!B126),"")</f>
        <v>Co-Head of Global Property Equities | Portfolio Manager</v>
      </c>
      <c r="C273" t="str">
        <f>IFERROR(IF(JHers!C126="","",JHers!C126),"")</f>
        <v>Portfolio Manager</v>
      </c>
      <c r="D273" t="str">
        <f>IFERROR(IF(JHers!D126="","",JHers!D126),"")</f>
        <v>Renta variable</v>
      </c>
      <c r="E273" t="str">
        <f>IFERROR(IF(JHers!E126="","",JHers!E126),"")</f>
        <v>Global property equities</v>
      </c>
      <c r="F273" t="str">
        <f>IFERROR(IF(JHers!F126="","",JHers!F126),"")</f>
        <v>Asia Pacífico / Global</v>
      </c>
      <c r="G273" t="str">
        <f>IFERROR(IF(JHers!G126="","",JHers!G126),"")</f>
        <v>Inmobiliario cotizado global / Asia</v>
      </c>
      <c r="H273" t="str">
        <f>IFERROR(IF(JHers!H126="","",JHers!H126),"")</f>
        <v>Global Property Equities strategies</v>
      </c>
      <c r="I273" t="str">
        <f>IFERROR(IF(JHers!I126="","",JHers!I126),"")</f>
        <v>NO_DATO</v>
      </c>
      <c r="J273" t="str">
        <f>IFERROR(IF(JHers!J126="","",JHers!J126),"")</f>
        <v>https://www.janushenderson.com/en-us/investor/bio/tim-gibson/</v>
      </c>
      <c r="K273" t="str">
        <f>IFERROR(IF(JHers!K126="","",JHers!K126),"")</f>
        <v>NO_DATO</v>
      </c>
    </row>
    <row r="274" spans="1:11" x14ac:dyDescent="0.3">
      <c r="A274" t="str">
        <f>IFERROR(IF(JHers!A127="","",JHers!A127),"")</f>
        <v>Tom Ross, CFA</v>
      </c>
      <c r="B274" t="str">
        <f>IFERROR(IF(JHers!B127="","",JHers!B127),"")</f>
        <v>Head of High Yield | Portfolio Manager</v>
      </c>
      <c r="C274" t="str">
        <f>IFERROR(IF(JHers!C127="","",JHers!C127),"")</f>
        <v>Portfolio Manager</v>
      </c>
      <c r="D274" t="str">
        <f>IFERROR(IF(JHers!D127="","",JHers!D127),"")</f>
        <v>Renta fija</v>
      </c>
      <c r="E274" t="str">
        <f>IFERROR(IF(JHers!E127="","",JHers!E127),"")</f>
        <v>Global high yield credit</v>
      </c>
      <c r="F274" t="str">
        <f>IFERROR(IF(JHers!F127="","",JHers!F127),"")</f>
        <v>Global</v>
      </c>
      <c r="G274" t="str">
        <f>IFERROR(IF(JHers!G127="","",JHers!G127),"")</f>
        <v>High yield / crédito especulativo</v>
      </c>
      <c r="H274" t="str">
        <f>IFERROR(IF(JHers!H127="","",JHers!H127),"")</f>
        <v>High Yield strategies</v>
      </c>
      <c r="I274" t="str">
        <f>IFERROR(IF(JHers!I127="","",JHers!I127),"")</f>
        <v>NO_DATO</v>
      </c>
      <c r="J274" t="str">
        <f>IFERROR(IF(JHers!J127="","",JHers!J127),"")</f>
        <v>https://www.janushenderson.com/en-gb/investor/bio/tom-ross/</v>
      </c>
      <c r="K274" t="str">
        <f>IFERROR(IF(JHers!K127="","",JHers!K127),"")</f>
        <v>NO_DATO</v>
      </c>
    </row>
    <row r="275" spans="1:11" x14ac:dyDescent="0.3">
      <c r="A275" t="str">
        <f>IFERROR(IF(JHers!A128="","",JHers!A128),"")</f>
        <v>Victoria Mio, CFA</v>
      </c>
      <c r="B275" t="str">
        <f>IFERROR(IF(JHers!B128="","",JHers!B128),"")</f>
        <v>Head of Greater China Equities &amp; Portfolio Manager</v>
      </c>
      <c r="C275" t="str">
        <f>IFERROR(IF(JHers!C128="","",JHers!C128),"")</f>
        <v>Portfolio Manager</v>
      </c>
      <c r="D275" t="str">
        <f>IFERROR(IF(JHers!D128="","",JHers!D128),"")</f>
        <v>Renta variable</v>
      </c>
      <c r="E275" t="str">
        <f>IFERROR(IF(JHers!E128="","",JHers!E128),"")</f>
        <v>Greater China equities</v>
      </c>
      <c r="F275" t="str">
        <f>IFERROR(IF(JHers!F128="","",JHers!F128),"")</f>
        <v>China / Asia</v>
      </c>
      <c r="G275" t="str">
        <f>IFERROR(IF(JHers!G128="","",JHers!G128),"")</f>
        <v>Renta variable China / mercados emergentes asiáticos</v>
      </c>
      <c r="H275" t="str">
        <f>IFERROR(IF(JHers!H128="","",JHers!H128),"")</f>
        <v>Greater China Equities strategies</v>
      </c>
      <c r="I275" t="str">
        <f>IFERROR(IF(JHers!I128="","",JHers!I128),"")</f>
        <v>NO_DATO</v>
      </c>
      <c r="J275" t="str">
        <f>IFERROR(IF(JHers!J128="","",JHers!J128),"")</f>
        <v>NO_DATO</v>
      </c>
      <c r="K275" t="str">
        <f>IFERROR(IF(JHers!K128="","",JHers!K128),"")</f>
        <v>NO_DATO</v>
      </c>
    </row>
    <row r="276" spans="1:11" x14ac:dyDescent="0.3">
      <c r="A276" t="str">
        <f>IFERROR(IF(JHers!A129="","",JHers!A129),"")</f>
        <v>Xin Yan Low</v>
      </c>
      <c r="B276" t="str">
        <f>IFERROR(IF(JHers!B129="","",JHers!B129),"")</f>
        <v>Portfolio Manager</v>
      </c>
      <c r="C276" t="str">
        <f>IFERROR(IF(JHers!C129="","",JHers!C129),"")</f>
        <v>Portfolio Manager</v>
      </c>
      <c r="D276" t="str">
        <f>IFERROR(IF(JHers!D129="","",JHers!D129),"")</f>
        <v>Renta variable</v>
      </c>
      <c r="E276" t="str">
        <f>IFERROR(IF(JHers!E129="","",JHers!E129),"")</f>
        <v>Global property equities / ASEAN</v>
      </c>
      <c r="F276" t="str">
        <f>IFERROR(IF(JHers!F129="","",JHers!F129),"")</f>
        <v>Asia Pacífico / Global</v>
      </c>
      <c r="G276" t="str">
        <f>IFERROR(IF(JHers!G129="","",JHers!G129),"")</f>
        <v>Inmobiliario cotizado Asia-Pacífico</v>
      </c>
      <c r="H276" t="str">
        <f>IFERROR(IF(JHers!H129="","",JHers!H129),"")</f>
        <v>Global Property Equities strategies</v>
      </c>
      <c r="I276" t="str">
        <f>IFERROR(IF(JHers!I129="","",JHers!I129),"")</f>
        <v>NO_DATO</v>
      </c>
      <c r="J276" t="str">
        <f>IFERROR(IF(JHers!J129="","",JHers!J129),"")</f>
        <v>https://www.janushenderson.com/en-sg/investor/bio/xin-yan-low/</v>
      </c>
      <c r="K276" t="str">
        <f>IFERROR(IF(JHers!K129="","",JHers!K129),"")</f>
        <v>NO_DATO</v>
      </c>
    </row>
    <row r="277" spans="1:11" x14ac:dyDescent="0.3">
      <c r="A277" t="str">
        <f>IFERROR(IF(JHers!A130="","",JHers!A130),"")</f>
        <v>Yunyoung Lee, CFA</v>
      </c>
      <c r="B277" t="str">
        <f>IFERROR(IF(JHers!B130="","",JHers!B130),"")</f>
        <v>Portfolio Manager</v>
      </c>
      <c r="C277" t="str">
        <f>IFERROR(IF(JHers!C130="","",JHers!C130),"")</f>
        <v>Portfolio Manager</v>
      </c>
      <c r="D277" t="str">
        <f>IFERROR(IF(JHers!D130="","",JHers!D130),"")</f>
        <v>Renta variable</v>
      </c>
      <c r="E277" t="str">
        <f>IFERROR(IF(JHers!E130="","",JHers!E130),"")</f>
        <v>Japanese equities (small cap)</v>
      </c>
      <c r="F277" t="str">
        <f>IFERROR(IF(JHers!F130="","",JHers!F130),"")</f>
        <v>Japón</v>
      </c>
      <c r="G277" t="str">
        <f>IFERROR(IF(JHers!G130="","",JHers!G130),"")</f>
        <v>Renta variable japonesa / small cap</v>
      </c>
      <c r="H277" t="str">
        <f>IFERROR(IF(JHers!H130="","",JHers!H130),"")</f>
        <v>Japanese Equities strategies</v>
      </c>
      <c r="I277" t="str">
        <f>IFERROR(IF(JHers!I130="","",JHers!I130),"")</f>
        <v>NO_DATO</v>
      </c>
      <c r="J277" t="str">
        <f>IFERROR(IF(JHers!J130="","",JHers!J130),"")</f>
        <v>https://www.janushenderson.com/en-gb/adviser/bio/yunyoung-lee-cfa/</v>
      </c>
      <c r="K277" t="str">
        <f>IFERROR(IF(JHers!K130="","",JHers!K130),"")</f>
        <v>NO_DATO</v>
      </c>
    </row>
    <row r="278" spans="1:11" x14ac:dyDescent="0.3">
      <c r="A278" t="str">
        <f>IFERROR(IF(JHers!A131="","",JHers!A131),"")</f>
        <v>Zoey Zhu, CFA</v>
      </c>
      <c r="B278" t="str">
        <f>IFERROR(IF(JHers!B131="","",JHers!B131),"")</f>
        <v>Portfolio Manager | Quantitative Solutions</v>
      </c>
      <c r="C278" t="str">
        <f>IFERROR(IF(JHers!C131="","",JHers!C131),"")</f>
        <v>Portfolio Manager</v>
      </c>
      <c r="D278" t="str">
        <f>IFERROR(IF(JHers!D131="","",JHers!D131),"")</f>
        <v>Renta variable</v>
      </c>
      <c r="E278" t="str">
        <f>IFERROR(IF(JHers!E131="","",JHers!E131),"")</f>
        <v>Quantitative solutions / factor strategies</v>
      </c>
      <c r="F278" t="str">
        <f>IFERROR(IF(JHers!F131="","",JHers!F131),"")</f>
        <v>Global</v>
      </c>
      <c r="G278" t="str">
        <f>IFERROR(IF(JHers!G131="","",JHers!G131),"")</f>
        <v>Renta variable cuantitativa / factor investing</v>
      </c>
      <c r="H278" t="str">
        <f>IFERROR(IF(JHers!H131="","",JHers!H131),"")</f>
        <v>Quantitative Solutions strategies</v>
      </c>
      <c r="I278" t="str">
        <f>IFERROR(IF(JHers!I131="","",JHers!I131),"")</f>
        <v>NO_DATO</v>
      </c>
      <c r="J278" t="str">
        <f>IFERROR(IF(JHers!J131="","",JHers!J131),"")</f>
        <v>https://www.janushenderson.com/en-hk/investor/bio/zoey-zhu-cfa/</v>
      </c>
      <c r="K278" t="str">
        <f>IFERROR(IF(JHers!K131="","",JHers!K131),"")</f>
        <v>NO_DATO</v>
      </c>
    </row>
    <row r="279" spans="1:11" x14ac:dyDescent="0.3">
      <c r="A279" t="str">
        <f>IFERROR(IF(JHers!A132="","",JHers!A132),"")</f>
        <v>William Cassidy</v>
      </c>
      <c r="B279" t="str">
        <f>IFERROR(IF(JHers!B132="","",JHers!B132),"")</f>
        <v>Chief Technology Officer</v>
      </c>
      <c r="C279" t="str">
        <f>IFERROR(IF(JHers!C132="","",JHers!C132),"")</f>
        <v>Otro</v>
      </c>
      <c r="D279" t="str">
        <f>IFERROR(IF(JHers!D132="","",JHers!D132),"")</f>
        <v>Perfil ejecutivo</v>
      </c>
      <c r="E279" t="str">
        <f>IFERROR(IF(JHers!E132="","",JHers!E132),"")</f>
        <v>Tecnología e infraestructura corporativa</v>
      </c>
      <c r="F279" t="str">
        <f>IFERROR(IF(JHers!F132="","",JHers!F132),"")</f>
        <v>Global</v>
      </c>
      <c r="G279" t="str">
        <f>IFERROR(IF(JHers!G132="","",JHers!G132),"")</f>
        <v>Estrategia tecnológica / innovación / datos</v>
      </c>
      <c r="H279" t="str">
        <f>IFERROR(IF(JHers!H132="","",JHers!H132),"")</f>
        <v>NO_DATO</v>
      </c>
      <c r="I279" t="str">
        <f>IFERROR(IF(JHers!I132="","",JHers!I132),"")</f>
        <v>NO_DATO</v>
      </c>
      <c r="J279" t="str">
        <f>IFERROR(IF(JHers!J132="","",JHers!J132),"")</f>
        <v>https://www.janushenderson.com/en/row/bio/william-cassidy/</v>
      </c>
      <c r="K279" t="str">
        <f>IFERROR(IF(JHers!K132="","",JHers!K132),"")</f>
        <v>NO_DATO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F35732A-E403-4B9B-A975-8B8D79228C03}">
          <x14:formula1>
            <xm:f>OFFSET(JHers!$D$3,0,0,COUNTA(JHers!$D$3:$D$132),1)</xm:f>
          </x14:formula1>
          <xm:sqref>B5</xm:sqref>
        </x14:dataValidation>
        <x14:dataValidation type="list" allowBlank="1" showInputMessage="1" showErrorMessage="1" xr:uid="{E4BF285D-BB20-4D87-B7BE-E7FA93AF313E}">
          <x14:formula1>
            <xm:f>OFFSET(JHers!$E$3,0,0,COUNTA(JHers!$E$3:$E$132),1)</xm:f>
          </x14:formula1>
          <xm:sqref>C5</xm:sqref>
        </x14:dataValidation>
        <x14:dataValidation type="list" allowBlank="1" showInputMessage="1" showErrorMessage="1" xr:uid="{A4A53028-C82E-43FB-BE4C-4927E65EB782}">
          <x14:formula1>
            <xm:f>OFFSET(JHers!$F$3,0,0,COUNTA(JHers!$F$3:$F$132),1)</xm:f>
          </x14:formula1>
          <xm:sqref>D5</xm:sqref>
        </x14:dataValidation>
        <x14:dataValidation type="list" allowBlank="1" showInputMessage="1" showErrorMessage="1" xr:uid="{CE99A367-0BEE-4A58-837A-86ABEF681602}">
          <x14:formula1>
            <xm:f>OFFSET(JHers!$C$3,0,0,COUNTA(JHers!$C$3:$C$132),1)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1978-D8E4-4412-BCF5-7667C8AE71D1}">
  <dimension ref="A1:K132"/>
  <sheetViews>
    <sheetView topLeftCell="A118" workbookViewId="0">
      <selection activeCell="A8" sqref="A8"/>
    </sheetView>
  </sheetViews>
  <sheetFormatPr baseColWidth="10" defaultRowHeight="14.4" x14ac:dyDescent="0.3"/>
  <cols>
    <col min="1" max="1" width="25.88671875" bestFit="1" customWidth="1"/>
    <col min="2" max="2" width="45.109375" bestFit="1" customWidth="1"/>
    <col min="3" max="3" width="13.88671875" bestFit="1" customWidth="1"/>
    <col min="4" max="4" width="19" bestFit="1" customWidth="1"/>
    <col min="5" max="5" width="44" bestFit="1" customWidth="1"/>
    <col min="6" max="6" width="14.21875" bestFit="1" customWidth="1"/>
    <col min="7" max="7" width="53.77734375" bestFit="1" customWidth="1"/>
    <col min="8" max="8" width="50.33203125" bestFit="1" customWidth="1"/>
    <col min="9" max="9" width="19.21875" bestFit="1" customWidth="1"/>
    <col min="10" max="10" width="63.777343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t="s">
        <v>22</v>
      </c>
      <c r="B3" t="s">
        <v>23</v>
      </c>
      <c r="C3" t="s">
        <v>68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">
      <c r="A4" t="s">
        <v>33</v>
      </c>
      <c r="B4" t="s">
        <v>34</v>
      </c>
      <c r="C4" t="s">
        <v>68</v>
      </c>
      <c r="D4" t="s">
        <v>35</v>
      </c>
      <c r="E4" t="s">
        <v>36</v>
      </c>
      <c r="F4" t="s">
        <v>27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 x14ac:dyDescent="0.3">
      <c r="A5" t="s">
        <v>42</v>
      </c>
      <c r="B5" t="s">
        <v>43</v>
      </c>
      <c r="C5" t="s">
        <v>68</v>
      </c>
      <c r="D5" t="s">
        <v>35</v>
      </c>
      <c r="E5" t="s">
        <v>36</v>
      </c>
      <c r="F5" t="s">
        <v>27</v>
      </c>
      <c r="G5" t="s">
        <v>44</v>
      </c>
      <c r="H5" t="s">
        <v>38</v>
      </c>
      <c r="I5" t="s">
        <v>39</v>
      </c>
      <c r="J5" t="s">
        <v>45</v>
      </c>
      <c r="K5" t="s">
        <v>41</v>
      </c>
    </row>
    <row r="6" spans="1:11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27</v>
      </c>
      <c r="G6" t="s">
        <v>51</v>
      </c>
      <c r="H6" t="s">
        <v>52</v>
      </c>
      <c r="I6" t="s">
        <v>52</v>
      </c>
      <c r="J6" t="s">
        <v>53</v>
      </c>
      <c r="K6" t="s">
        <v>52</v>
      </c>
    </row>
    <row r="7" spans="1:11" x14ac:dyDescent="0.3">
      <c r="A7" t="s">
        <v>54</v>
      </c>
      <c r="B7" t="s">
        <v>55</v>
      </c>
      <c r="C7" t="s">
        <v>68</v>
      </c>
      <c r="D7" t="s">
        <v>49</v>
      </c>
      <c r="E7" t="s">
        <v>56</v>
      </c>
      <c r="F7" t="s">
        <v>27</v>
      </c>
      <c r="G7" t="s">
        <v>57</v>
      </c>
      <c r="H7" t="s">
        <v>58</v>
      </c>
      <c r="I7" t="s">
        <v>52</v>
      </c>
      <c r="J7" t="s">
        <v>59</v>
      </c>
      <c r="K7" t="s">
        <v>52</v>
      </c>
    </row>
    <row r="8" spans="1:11" x14ac:dyDescent="0.3">
      <c r="A8" t="s">
        <v>60</v>
      </c>
      <c r="B8" t="s">
        <v>61</v>
      </c>
      <c r="C8" t="s">
        <v>68</v>
      </c>
      <c r="D8" t="s">
        <v>62</v>
      </c>
      <c r="E8" t="s">
        <v>63</v>
      </c>
      <c r="F8" t="s">
        <v>27</v>
      </c>
      <c r="G8" t="s">
        <v>64</v>
      </c>
      <c r="H8" t="s">
        <v>65</v>
      </c>
      <c r="I8" t="s">
        <v>52</v>
      </c>
      <c r="J8" t="s">
        <v>66</v>
      </c>
      <c r="K8" t="s">
        <v>52</v>
      </c>
    </row>
    <row r="9" spans="1:11" x14ac:dyDescent="0.3">
      <c r="A9" t="s">
        <v>67</v>
      </c>
      <c r="B9" t="s">
        <v>68</v>
      </c>
      <c r="C9" t="s">
        <v>68</v>
      </c>
      <c r="D9" t="s">
        <v>35</v>
      </c>
      <c r="E9" t="s">
        <v>69</v>
      </c>
      <c r="F9" t="s">
        <v>70</v>
      </c>
      <c r="G9" t="s">
        <v>71</v>
      </c>
      <c r="H9" t="s">
        <v>72</v>
      </c>
      <c r="I9" t="s">
        <v>52</v>
      </c>
      <c r="J9" t="s">
        <v>73</v>
      </c>
      <c r="K9" t="s">
        <v>52</v>
      </c>
    </row>
    <row r="10" spans="1:11" x14ac:dyDescent="0.3">
      <c r="A10" t="s">
        <v>67</v>
      </c>
      <c r="B10" t="s">
        <v>68</v>
      </c>
      <c r="C10" t="s">
        <v>68</v>
      </c>
      <c r="D10" t="s">
        <v>35</v>
      </c>
      <c r="E10" t="s">
        <v>74</v>
      </c>
      <c r="F10" t="s">
        <v>70</v>
      </c>
      <c r="G10" t="s">
        <v>75</v>
      </c>
      <c r="H10" t="s">
        <v>76</v>
      </c>
      <c r="I10" t="s">
        <v>52</v>
      </c>
      <c r="J10" t="s">
        <v>73</v>
      </c>
      <c r="K10" t="s">
        <v>52</v>
      </c>
    </row>
    <row r="11" spans="1:11" x14ac:dyDescent="0.3">
      <c r="A11" t="s">
        <v>77</v>
      </c>
      <c r="B11" t="s">
        <v>78</v>
      </c>
      <c r="C11" t="s">
        <v>68</v>
      </c>
      <c r="D11" t="s">
        <v>25</v>
      </c>
      <c r="E11" t="s">
        <v>79</v>
      </c>
      <c r="F11" t="s">
        <v>27</v>
      </c>
      <c r="G11" t="s">
        <v>80</v>
      </c>
      <c r="H11" t="s">
        <v>81</v>
      </c>
      <c r="I11" t="s">
        <v>52</v>
      </c>
      <c r="J11" t="s">
        <v>82</v>
      </c>
      <c r="K11" t="s">
        <v>52</v>
      </c>
    </row>
    <row r="12" spans="1:11" x14ac:dyDescent="0.3">
      <c r="A12" t="s">
        <v>83</v>
      </c>
      <c r="B12" t="s">
        <v>84</v>
      </c>
      <c r="C12" t="s">
        <v>85</v>
      </c>
      <c r="D12" t="s">
        <v>636</v>
      </c>
      <c r="E12" t="s">
        <v>86</v>
      </c>
      <c r="F12" t="s">
        <v>27</v>
      </c>
      <c r="G12" t="s">
        <v>87</v>
      </c>
      <c r="H12" t="s">
        <v>52</v>
      </c>
      <c r="I12" t="s">
        <v>52</v>
      </c>
      <c r="J12" t="s">
        <v>88</v>
      </c>
      <c r="K12" t="s">
        <v>52</v>
      </c>
    </row>
    <row r="13" spans="1:11" x14ac:dyDescent="0.3">
      <c r="A13" t="s">
        <v>89</v>
      </c>
      <c r="B13" t="s">
        <v>90</v>
      </c>
      <c r="C13" t="s">
        <v>637</v>
      </c>
      <c r="D13" t="s">
        <v>35</v>
      </c>
      <c r="E13" t="s">
        <v>92</v>
      </c>
      <c r="F13" t="s">
        <v>70</v>
      </c>
      <c r="G13" t="s">
        <v>93</v>
      </c>
      <c r="H13" t="s">
        <v>94</v>
      </c>
      <c r="I13" t="s">
        <v>52</v>
      </c>
      <c r="J13" t="s">
        <v>95</v>
      </c>
      <c r="K13" t="s">
        <v>52</v>
      </c>
    </row>
    <row r="14" spans="1:11" x14ac:dyDescent="0.3">
      <c r="A14" t="s">
        <v>89</v>
      </c>
      <c r="B14" t="s">
        <v>90</v>
      </c>
      <c r="C14" t="s">
        <v>637</v>
      </c>
      <c r="D14" t="s">
        <v>35</v>
      </c>
      <c r="E14" t="s">
        <v>96</v>
      </c>
      <c r="F14" t="s">
        <v>70</v>
      </c>
      <c r="G14" t="s">
        <v>97</v>
      </c>
      <c r="H14" t="s">
        <v>98</v>
      </c>
      <c r="I14" t="s">
        <v>52</v>
      </c>
      <c r="J14" t="s">
        <v>95</v>
      </c>
      <c r="K14" t="s">
        <v>99</v>
      </c>
    </row>
    <row r="15" spans="1:11" x14ac:dyDescent="0.3">
      <c r="A15" t="s">
        <v>100</v>
      </c>
      <c r="B15" t="s">
        <v>68</v>
      </c>
      <c r="C15" t="s">
        <v>68</v>
      </c>
      <c r="D15" t="s">
        <v>35</v>
      </c>
      <c r="E15" t="s">
        <v>101</v>
      </c>
      <c r="F15" t="s">
        <v>27</v>
      </c>
      <c r="G15" t="s">
        <v>102</v>
      </c>
      <c r="H15" t="s">
        <v>103</v>
      </c>
      <c r="I15" t="s">
        <v>52</v>
      </c>
      <c r="J15" t="s">
        <v>104</v>
      </c>
      <c r="K15" t="s">
        <v>52</v>
      </c>
    </row>
    <row r="16" spans="1:11" x14ac:dyDescent="0.3">
      <c r="A16" t="s">
        <v>100</v>
      </c>
      <c r="B16" t="s">
        <v>68</v>
      </c>
      <c r="C16" t="s">
        <v>68</v>
      </c>
      <c r="D16" t="s">
        <v>35</v>
      </c>
      <c r="E16" t="s">
        <v>101</v>
      </c>
      <c r="F16" t="s">
        <v>27</v>
      </c>
      <c r="G16" t="s">
        <v>102</v>
      </c>
      <c r="H16" t="s">
        <v>105</v>
      </c>
      <c r="I16" t="s">
        <v>52</v>
      </c>
      <c r="J16" t="s">
        <v>104</v>
      </c>
      <c r="K16" t="s">
        <v>52</v>
      </c>
    </row>
    <row r="17" spans="1:11" x14ac:dyDescent="0.3">
      <c r="A17" t="s">
        <v>106</v>
      </c>
      <c r="B17" t="s">
        <v>68</v>
      </c>
      <c r="C17" t="s">
        <v>68</v>
      </c>
      <c r="D17" t="s">
        <v>49</v>
      </c>
      <c r="E17" t="s">
        <v>107</v>
      </c>
      <c r="F17" t="s">
        <v>27</v>
      </c>
      <c r="G17" t="s">
        <v>108</v>
      </c>
      <c r="H17" t="s">
        <v>109</v>
      </c>
      <c r="I17" t="s">
        <v>110</v>
      </c>
      <c r="J17" t="s">
        <v>111</v>
      </c>
      <c r="K17" t="s">
        <v>52</v>
      </c>
    </row>
    <row r="18" spans="1:11" x14ac:dyDescent="0.3">
      <c r="A18" t="s">
        <v>106</v>
      </c>
      <c r="B18" t="s">
        <v>68</v>
      </c>
      <c r="C18" t="s">
        <v>68</v>
      </c>
      <c r="D18" t="s">
        <v>49</v>
      </c>
      <c r="E18" t="s">
        <v>112</v>
      </c>
      <c r="F18" t="s">
        <v>27</v>
      </c>
      <c r="G18" t="s">
        <v>113</v>
      </c>
      <c r="H18" t="s">
        <v>114</v>
      </c>
      <c r="I18" t="s">
        <v>52</v>
      </c>
      <c r="J18" t="s">
        <v>111</v>
      </c>
      <c r="K18" t="s">
        <v>52</v>
      </c>
    </row>
    <row r="19" spans="1:11" x14ac:dyDescent="0.3">
      <c r="A19" t="s">
        <v>115</v>
      </c>
      <c r="B19" t="s">
        <v>90</v>
      </c>
      <c r="C19" t="s">
        <v>637</v>
      </c>
      <c r="D19" t="s">
        <v>35</v>
      </c>
      <c r="E19" t="s">
        <v>116</v>
      </c>
      <c r="F19" t="s">
        <v>27</v>
      </c>
      <c r="G19" t="s">
        <v>117</v>
      </c>
      <c r="H19" t="s">
        <v>118</v>
      </c>
      <c r="I19" t="s">
        <v>52</v>
      </c>
      <c r="J19" t="s">
        <v>119</v>
      </c>
      <c r="K19" t="s">
        <v>120</v>
      </c>
    </row>
    <row r="20" spans="1:11" x14ac:dyDescent="0.3">
      <c r="A20" t="s">
        <v>121</v>
      </c>
      <c r="B20" t="s">
        <v>68</v>
      </c>
      <c r="C20" t="s">
        <v>68</v>
      </c>
      <c r="D20" t="s">
        <v>35</v>
      </c>
      <c r="E20" t="s">
        <v>122</v>
      </c>
      <c r="F20" t="s">
        <v>27</v>
      </c>
      <c r="G20" t="s">
        <v>123</v>
      </c>
      <c r="H20" t="s">
        <v>124</v>
      </c>
      <c r="I20" t="s">
        <v>52</v>
      </c>
      <c r="J20" t="s">
        <v>125</v>
      </c>
      <c r="K20" t="s">
        <v>52</v>
      </c>
    </row>
    <row r="21" spans="1:11" x14ac:dyDescent="0.3">
      <c r="A21" t="s">
        <v>121</v>
      </c>
      <c r="B21" t="s">
        <v>68</v>
      </c>
      <c r="C21" t="s">
        <v>68</v>
      </c>
      <c r="D21" t="s">
        <v>35</v>
      </c>
      <c r="E21" t="s">
        <v>126</v>
      </c>
      <c r="F21" t="s">
        <v>27</v>
      </c>
      <c r="G21" t="s">
        <v>123</v>
      </c>
      <c r="H21" t="s">
        <v>127</v>
      </c>
      <c r="I21" t="s">
        <v>52</v>
      </c>
      <c r="J21" t="s">
        <v>125</v>
      </c>
      <c r="K21" t="s">
        <v>52</v>
      </c>
    </row>
    <row r="22" spans="1:11" x14ac:dyDescent="0.3">
      <c r="A22" t="s">
        <v>128</v>
      </c>
      <c r="B22" t="s">
        <v>129</v>
      </c>
      <c r="C22" t="s">
        <v>85</v>
      </c>
      <c r="D22" t="s">
        <v>49</v>
      </c>
      <c r="E22" t="s">
        <v>130</v>
      </c>
      <c r="F22" t="s">
        <v>27</v>
      </c>
      <c r="G22" t="s">
        <v>131</v>
      </c>
      <c r="H22" t="s">
        <v>52</v>
      </c>
      <c r="I22" t="s">
        <v>52</v>
      </c>
      <c r="J22" t="s">
        <v>132</v>
      </c>
      <c r="K22" t="s">
        <v>52</v>
      </c>
    </row>
    <row r="23" spans="1:11" x14ac:dyDescent="0.3">
      <c r="A23" t="s">
        <v>133</v>
      </c>
      <c r="B23" t="s">
        <v>68</v>
      </c>
      <c r="C23" t="s">
        <v>68</v>
      </c>
      <c r="D23" t="s">
        <v>62</v>
      </c>
      <c r="E23" t="s">
        <v>134</v>
      </c>
      <c r="F23" t="s">
        <v>27</v>
      </c>
      <c r="G23" t="s">
        <v>135</v>
      </c>
      <c r="H23" t="s">
        <v>136</v>
      </c>
      <c r="I23" t="s">
        <v>52</v>
      </c>
      <c r="J23" t="s">
        <v>137</v>
      </c>
      <c r="K23" t="s">
        <v>52</v>
      </c>
    </row>
    <row r="24" spans="1:11" x14ac:dyDescent="0.3">
      <c r="A24" t="s">
        <v>138</v>
      </c>
      <c r="B24" t="s">
        <v>68</v>
      </c>
      <c r="C24" t="s">
        <v>68</v>
      </c>
      <c r="D24" t="s">
        <v>35</v>
      </c>
      <c r="E24" t="s">
        <v>139</v>
      </c>
      <c r="F24" t="s">
        <v>27</v>
      </c>
      <c r="G24" t="s">
        <v>140</v>
      </c>
      <c r="H24" t="s">
        <v>141</v>
      </c>
      <c r="I24" t="s">
        <v>52</v>
      </c>
      <c r="J24" t="s">
        <v>142</v>
      </c>
      <c r="K24" t="s">
        <v>52</v>
      </c>
    </row>
    <row r="25" spans="1:11" x14ac:dyDescent="0.3">
      <c r="A25" t="s">
        <v>143</v>
      </c>
      <c r="B25" t="s">
        <v>144</v>
      </c>
      <c r="C25" t="s">
        <v>68</v>
      </c>
      <c r="D25" t="s">
        <v>49</v>
      </c>
      <c r="E25" t="s">
        <v>145</v>
      </c>
      <c r="F25" t="s">
        <v>27</v>
      </c>
      <c r="G25" t="s">
        <v>146</v>
      </c>
      <c r="H25" t="s">
        <v>147</v>
      </c>
      <c r="I25" t="s">
        <v>52</v>
      </c>
      <c r="J25" t="s">
        <v>52</v>
      </c>
      <c r="K25" t="s">
        <v>52</v>
      </c>
    </row>
    <row r="26" spans="1:11" x14ac:dyDescent="0.3">
      <c r="A26" t="s">
        <v>148</v>
      </c>
      <c r="B26" t="s">
        <v>68</v>
      </c>
      <c r="C26" t="s">
        <v>68</v>
      </c>
      <c r="D26" t="s">
        <v>35</v>
      </c>
      <c r="E26" t="s">
        <v>122</v>
      </c>
      <c r="F26" t="s">
        <v>27</v>
      </c>
      <c r="G26" t="s">
        <v>123</v>
      </c>
      <c r="H26" t="s">
        <v>149</v>
      </c>
      <c r="I26" t="s">
        <v>150</v>
      </c>
      <c r="J26" t="s">
        <v>151</v>
      </c>
      <c r="K26" t="s">
        <v>52</v>
      </c>
    </row>
    <row r="27" spans="1:11" x14ac:dyDescent="0.3">
      <c r="A27" t="s">
        <v>152</v>
      </c>
      <c r="B27" t="s">
        <v>68</v>
      </c>
      <c r="C27" t="s">
        <v>68</v>
      </c>
      <c r="D27" t="s">
        <v>35</v>
      </c>
      <c r="E27" t="s">
        <v>153</v>
      </c>
      <c r="F27" t="s">
        <v>27</v>
      </c>
      <c r="G27" t="s">
        <v>154</v>
      </c>
      <c r="H27" t="s">
        <v>155</v>
      </c>
      <c r="I27" t="s">
        <v>52</v>
      </c>
      <c r="J27" t="s">
        <v>156</v>
      </c>
      <c r="K27" t="s">
        <v>157</v>
      </c>
    </row>
    <row r="28" spans="1:11" x14ac:dyDescent="0.3">
      <c r="A28" t="s">
        <v>152</v>
      </c>
      <c r="B28" t="s">
        <v>68</v>
      </c>
      <c r="C28" t="s">
        <v>68</v>
      </c>
      <c r="D28" t="s">
        <v>35</v>
      </c>
      <c r="E28" t="s">
        <v>158</v>
      </c>
      <c r="F28" t="s">
        <v>27</v>
      </c>
      <c r="G28" t="s">
        <v>159</v>
      </c>
      <c r="H28" t="s">
        <v>118</v>
      </c>
      <c r="I28" t="s">
        <v>52</v>
      </c>
      <c r="J28" t="s">
        <v>156</v>
      </c>
      <c r="K28" t="s">
        <v>120</v>
      </c>
    </row>
    <row r="29" spans="1:11" x14ac:dyDescent="0.3">
      <c r="A29" s="2" t="s">
        <v>160</v>
      </c>
      <c r="B29" s="3" t="s">
        <v>68</v>
      </c>
      <c r="C29" s="3" t="s">
        <v>68</v>
      </c>
      <c r="D29" s="3" t="s">
        <v>49</v>
      </c>
      <c r="E29" s="3" t="s">
        <v>161</v>
      </c>
      <c r="F29" s="3" t="s">
        <v>27</v>
      </c>
      <c r="G29" s="3" t="s">
        <v>162</v>
      </c>
      <c r="H29" s="3" t="s">
        <v>163</v>
      </c>
      <c r="I29" s="3" t="s">
        <v>52</v>
      </c>
      <c r="J29" s="3" t="s">
        <v>164</v>
      </c>
      <c r="K29" s="6" t="s">
        <v>52</v>
      </c>
    </row>
    <row r="30" spans="1:11" x14ac:dyDescent="0.3">
      <c r="A30" s="4" t="s">
        <v>165</v>
      </c>
      <c r="B30" s="5" t="s">
        <v>68</v>
      </c>
      <c r="C30" s="5" t="s">
        <v>68</v>
      </c>
      <c r="D30" s="5" t="s">
        <v>62</v>
      </c>
      <c r="E30" s="5" t="s">
        <v>134</v>
      </c>
      <c r="F30" s="5" t="s">
        <v>27</v>
      </c>
      <c r="G30" s="5" t="s">
        <v>135</v>
      </c>
      <c r="H30" s="5" t="s">
        <v>136</v>
      </c>
      <c r="I30" s="5" t="s">
        <v>52</v>
      </c>
      <c r="J30" s="5" t="s">
        <v>166</v>
      </c>
      <c r="K30" s="7" t="s">
        <v>52</v>
      </c>
    </row>
    <row r="31" spans="1:11" x14ac:dyDescent="0.3">
      <c r="A31" s="2" t="s">
        <v>167</v>
      </c>
      <c r="B31" s="3" t="s">
        <v>168</v>
      </c>
      <c r="C31" s="3" t="s">
        <v>68</v>
      </c>
      <c r="D31" s="3" t="s">
        <v>35</v>
      </c>
      <c r="E31" s="3" t="s">
        <v>122</v>
      </c>
      <c r="F31" s="3" t="s">
        <v>27</v>
      </c>
      <c r="G31" s="3" t="s">
        <v>123</v>
      </c>
      <c r="H31" s="3" t="s">
        <v>169</v>
      </c>
      <c r="I31" s="3" t="s">
        <v>52</v>
      </c>
      <c r="J31" s="3" t="s">
        <v>170</v>
      </c>
      <c r="K31" s="6" t="s">
        <v>52</v>
      </c>
    </row>
    <row r="32" spans="1:11" x14ac:dyDescent="0.3">
      <c r="A32" s="4" t="s">
        <v>171</v>
      </c>
      <c r="B32" s="5" t="s">
        <v>68</v>
      </c>
      <c r="C32" s="5" t="s">
        <v>68</v>
      </c>
      <c r="D32" s="5" t="s">
        <v>35</v>
      </c>
      <c r="E32" s="5" t="s">
        <v>172</v>
      </c>
      <c r="F32" s="5" t="s">
        <v>173</v>
      </c>
      <c r="G32" s="5" t="s">
        <v>174</v>
      </c>
      <c r="H32" s="5" t="s">
        <v>175</v>
      </c>
      <c r="I32" s="5" t="s">
        <v>52</v>
      </c>
      <c r="J32" s="5" t="s">
        <v>176</v>
      </c>
      <c r="K32" s="7" t="s">
        <v>52</v>
      </c>
    </row>
    <row r="33" spans="1:11" x14ac:dyDescent="0.3">
      <c r="A33" s="2" t="s">
        <v>177</v>
      </c>
      <c r="B33" s="3" t="s">
        <v>178</v>
      </c>
      <c r="C33" s="3" t="s">
        <v>68</v>
      </c>
      <c r="D33" s="3" t="s">
        <v>35</v>
      </c>
      <c r="E33" s="3" t="s">
        <v>179</v>
      </c>
      <c r="F33" s="3" t="s">
        <v>27</v>
      </c>
      <c r="G33" s="3" t="s">
        <v>180</v>
      </c>
      <c r="H33" s="3" t="s">
        <v>181</v>
      </c>
      <c r="I33" s="3" t="s">
        <v>52</v>
      </c>
      <c r="J33" s="3" t="s">
        <v>182</v>
      </c>
      <c r="K33" s="6" t="s">
        <v>52</v>
      </c>
    </row>
    <row r="34" spans="1:11" x14ac:dyDescent="0.3">
      <c r="A34" s="4" t="s">
        <v>183</v>
      </c>
      <c r="B34" s="5" t="s">
        <v>68</v>
      </c>
      <c r="C34" s="5" t="s">
        <v>68</v>
      </c>
      <c r="D34" s="5" t="s">
        <v>49</v>
      </c>
      <c r="E34" s="5" t="s">
        <v>184</v>
      </c>
      <c r="F34" s="5" t="s">
        <v>185</v>
      </c>
      <c r="G34" s="5" t="s">
        <v>186</v>
      </c>
      <c r="H34" s="5" t="s">
        <v>187</v>
      </c>
      <c r="I34" s="5" t="s">
        <v>52</v>
      </c>
      <c r="J34" s="5" t="s">
        <v>188</v>
      </c>
      <c r="K34" s="7" t="s">
        <v>52</v>
      </c>
    </row>
    <row r="35" spans="1:11" x14ac:dyDescent="0.3">
      <c r="A35" s="2" t="s">
        <v>189</v>
      </c>
      <c r="B35" s="3" t="s">
        <v>68</v>
      </c>
      <c r="C35" s="3" t="s">
        <v>68</v>
      </c>
      <c r="D35" s="3" t="s">
        <v>49</v>
      </c>
      <c r="E35" s="3" t="s">
        <v>190</v>
      </c>
      <c r="F35" s="3" t="s">
        <v>27</v>
      </c>
      <c r="G35" s="3" t="s">
        <v>191</v>
      </c>
      <c r="H35" s="3" t="s">
        <v>192</v>
      </c>
      <c r="I35" s="3" t="s">
        <v>52</v>
      </c>
      <c r="J35" s="3" t="s">
        <v>193</v>
      </c>
      <c r="K35" s="6" t="s">
        <v>52</v>
      </c>
    </row>
    <row r="36" spans="1:11" x14ac:dyDescent="0.3">
      <c r="A36" s="4" t="s">
        <v>194</v>
      </c>
      <c r="B36" s="5" t="s">
        <v>68</v>
      </c>
      <c r="C36" s="5" t="s">
        <v>68</v>
      </c>
      <c r="D36" s="5" t="s">
        <v>49</v>
      </c>
      <c r="E36" s="5" t="s">
        <v>195</v>
      </c>
      <c r="F36" s="5" t="s">
        <v>27</v>
      </c>
      <c r="G36" s="5" t="s">
        <v>196</v>
      </c>
      <c r="H36" s="5" t="s">
        <v>197</v>
      </c>
      <c r="I36" s="5" t="s">
        <v>52</v>
      </c>
      <c r="J36" s="5" t="s">
        <v>198</v>
      </c>
      <c r="K36" s="7" t="s">
        <v>52</v>
      </c>
    </row>
    <row r="37" spans="1:11" x14ac:dyDescent="0.3">
      <c r="A37" s="2" t="s">
        <v>199</v>
      </c>
      <c r="B37" s="3" t="s">
        <v>68</v>
      </c>
      <c r="C37" s="3" t="s">
        <v>68</v>
      </c>
      <c r="D37" s="3" t="s">
        <v>35</v>
      </c>
      <c r="E37" s="3" t="s">
        <v>200</v>
      </c>
      <c r="F37" s="3" t="s">
        <v>70</v>
      </c>
      <c r="G37" s="3" t="s">
        <v>201</v>
      </c>
      <c r="H37" s="3" t="s">
        <v>202</v>
      </c>
      <c r="I37" s="3" t="s">
        <v>52</v>
      </c>
      <c r="J37" s="3" t="s">
        <v>203</v>
      </c>
      <c r="K37" s="6" t="s">
        <v>52</v>
      </c>
    </row>
    <row r="38" spans="1:11" x14ac:dyDescent="0.3">
      <c r="A38" s="4" t="s">
        <v>204</v>
      </c>
      <c r="B38" s="5" t="s">
        <v>90</v>
      </c>
      <c r="C38" s="5" t="s">
        <v>637</v>
      </c>
      <c r="D38" s="5" t="s">
        <v>35</v>
      </c>
      <c r="E38" s="5" t="s">
        <v>205</v>
      </c>
      <c r="F38" s="5" t="s">
        <v>70</v>
      </c>
      <c r="G38" s="5" t="s">
        <v>206</v>
      </c>
      <c r="H38" s="5" t="s">
        <v>207</v>
      </c>
      <c r="I38" s="5" t="s">
        <v>52</v>
      </c>
      <c r="J38" s="5" t="s">
        <v>208</v>
      </c>
      <c r="K38" s="7" t="s">
        <v>52</v>
      </c>
    </row>
    <row r="39" spans="1:11" x14ac:dyDescent="0.3">
      <c r="A39" s="2" t="s">
        <v>209</v>
      </c>
      <c r="B39" s="3" t="s">
        <v>68</v>
      </c>
      <c r="C39" s="3" t="s">
        <v>68</v>
      </c>
      <c r="D39" s="3" t="s">
        <v>62</v>
      </c>
      <c r="E39" s="3" t="s">
        <v>210</v>
      </c>
      <c r="F39" s="3" t="s">
        <v>27</v>
      </c>
      <c r="G39" s="3" t="s">
        <v>211</v>
      </c>
      <c r="H39" s="3" t="s">
        <v>212</v>
      </c>
      <c r="I39" s="3" t="s">
        <v>52</v>
      </c>
      <c r="J39" s="3" t="s">
        <v>213</v>
      </c>
      <c r="K39" s="6" t="s">
        <v>52</v>
      </c>
    </row>
    <row r="40" spans="1:11" x14ac:dyDescent="0.3">
      <c r="A40" s="4" t="s">
        <v>214</v>
      </c>
      <c r="B40" s="5" t="s">
        <v>68</v>
      </c>
      <c r="C40" s="5" t="s">
        <v>68</v>
      </c>
      <c r="D40" s="5" t="s">
        <v>35</v>
      </c>
      <c r="E40" s="5" t="s">
        <v>122</v>
      </c>
      <c r="F40" s="5" t="s">
        <v>27</v>
      </c>
      <c r="G40" s="5" t="s">
        <v>123</v>
      </c>
      <c r="H40" s="5" t="s">
        <v>124</v>
      </c>
      <c r="I40" s="5" t="s">
        <v>52</v>
      </c>
      <c r="J40" s="5" t="s">
        <v>215</v>
      </c>
      <c r="K40" s="7" t="s">
        <v>52</v>
      </c>
    </row>
    <row r="41" spans="1:11" x14ac:dyDescent="0.3">
      <c r="A41" s="2" t="s">
        <v>216</v>
      </c>
      <c r="B41" s="3" t="s">
        <v>90</v>
      </c>
      <c r="C41" s="3" t="s">
        <v>637</v>
      </c>
      <c r="D41" s="3" t="s">
        <v>35</v>
      </c>
      <c r="E41" s="3" t="s">
        <v>217</v>
      </c>
      <c r="F41" s="3" t="s">
        <v>27</v>
      </c>
      <c r="G41" s="3" t="s">
        <v>218</v>
      </c>
      <c r="H41" s="3" t="s">
        <v>219</v>
      </c>
      <c r="I41" s="3" t="s">
        <v>52</v>
      </c>
      <c r="J41" s="3" t="s">
        <v>220</v>
      </c>
      <c r="K41" s="6" t="s">
        <v>52</v>
      </c>
    </row>
    <row r="42" spans="1:11" x14ac:dyDescent="0.3">
      <c r="A42" s="4" t="s">
        <v>221</v>
      </c>
      <c r="B42" s="5" t="s">
        <v>90</v>
      </c>
      <c r="C42" s="5" t="s">
        <v>637</v>
      </c>
      <c r="D42" s="5" t="s">
        <v>35</v>
      </c>
      <c r="E42" s="5" t="s">
        <v>200</v>
      </c>
      <c r="F42" s="5" t="s">
        <v>70</v>
      </c>
      <c r="G42" s="5" t="s">
        <v>222</v>
      </c>
      <c r="H42" s="5" t="s">
        <v>202</v>
      </c>
      <c r="I42" s="5" t="s">
        <v>52</v>
      </c>
      <c r="J42" s="5" t="s">
        <v>223</v>
      </c>
      <c r="K42" s="7" t="s">
        <v>52</v>
      </c>
    </row>
    <row r="43" spans="1:11" x14ac:dyDescent="0.3">
      <c r="A43" s="2" t="s">
        <v>224</v>
      </c>
      <c r="B43" s="3" t="s">
        <v>68</v>
      </c>
      <c r="C43" s="3" t="s">
        <v>68</v>
      </c>
      <c r="D43" s="3" t="s">
        <v>35</v>
      </c>
      <c r="E43" s="3" t="s">
        <v>225</v>
      </c>
      <c r="F43" s="3" t="s">
        <v>70</v>
      </c>
      <c r="G43" s="3" t="s">
        <v>226</v>
      </c>
      <c r="H43" s="3" t="s">
        <v>227</v>
      </c>
      <c r="I43" s="3" t="s">
        <v>52</v>
      </c>
      <c r="J43" s="3" t="s">
        <v>228</v>
      </c>
      <c r="K43" s="6" t="s">
        <v>52</v>
      </c>
    </row>
    <row r="44" spans="1:11" x14ac:dyDescent="0.3">
      <c r="A44" s="4" t="s">
        <v>229</v>
      </c>
      <c r="B44" s="5" t="s">
        <v>90</v>
      </c>
      <c r="C44" s="5" t="s">
        <v>637</v>
      </c>
      <c r="D44" s="5" t="s">
        <v>35</v>
      </c>
      <c r="E44" s="5" t="s">
        <v>230</v>
      </c>
      <c r="F44" s="5" t="s">
        <v>27</v>
      </c>
      <c r="G44" s="5" t="s">
        <v>231</v>
      </c>
      <c r="H44" s="5" t="s">
        <v>232</v>
      </c>
      <c r="I44" s="5" t="s">
        <v>52</v>
      </c>
      <c r="J44" s="5" t="s">
        <v>233</v>
      </c>
      <c r="K44" s="7" t="s">
        <v>52</v>
      </c>
    </row>
    <row r="45" spans="1:11" x14ac:dyDescent="0.3">
      <c r="A45" s="2" t="s">
        <v>234</v>
      </c>
      <c r="B45" s="3" t="s">
        <v>235</v>
      </c>
      <c r="C45" s="3" t="s">
        <v>68</v>
      </c>
      <c r="D45" s="3" t="s">
        <v>49</v>
      </c>
      <c r="E45" s="3" t="s">
        <v>236</v>
      </c>
      <c r="F45" s="3" t="s">
        <v>27</v>
      </c>
      <c r="G45" s="3" t="s">
        <v>237</v>
      </c>
      <c r="H45" s="3" t="s">
        <v>238</v>
      </c>
      <c r="I45" s="3" t="s">
        <v>52</v>
      </c>
      <c r="J45" s="3" t="s">
        <v>239</v>
      </c>
      <c r="K45" s="6" t="s">
        <v>52</v>
      </c>
    </row>
    <row r="46" spans="1:11" x14ac:dyDescent="0.3">
      <c r="A46" s="4" t="s">
        <v>240</v>
      </c>
      <c r="B46" s="5" t="s">
        <v>68</v>
      </c>
      <c r="C46" s="5" t="s">
        <v>68</v>
      </c>
      <c r="D46" s="5" t="s">
        <v>35</v>
      </c>
      <c r="E46" s="5" t="s">
        <v>241</v>
      </c>
      <c r="F46" s="5" t="s">
        <v>27</v>
      </c>
      <c r="G46" s="5" t="s">
        <v>242</v>
      </c>
      <c r="H46" s="5" t="s">
        <v>243</v>
      </c>
      <c r="I46" s="5" t="s">
        <v>52</v>
      </c>
      <c r="J46" s="5" t="s">
        <v>244</v>
      </c>
      <c r="K46" s="7" t="s">
        <v>52</v>
      </c>
    </row>
    <row r="47" spans="1:11" x14ac:dyDescent="0.3">
      <c r="A47" s="2" t="s">
        <v>245</v>
      </c>
      <c r="B47" s="3" t="s">
        <v>246</v>
      </c>
      <c r="C47" s="3" t="s">
        <v>68</v>
      </c>
      <c r="D47" s="3" t="s">
        <v>62</v>
      </c>
      <c r="E47" s="3" t="s">
        <v>247</v>
      </c>
      <c r="F47" s="3" t="s">
        <v>27</v>
      </c>
      <c r="G47" s="3" t="s">
        <v>248</v>
      </c>
      <c r="H47" s="3" t="s">
        <v>136</v>
      </c>
      <c r="I47" s="3" t="s">
        <v>52</v>
      </c>
      <c r="J47" s="3" t="s">
        <v>249</v>
      </c>
      <c r="K47" s="6" t="s">
        <v>52</v>
      </c>
    </row>
    <row r="48" spans="1:11" x14ac:dyDescent="0.3">
      <c r="A48" s="4" t="s">
        <v>250</v>
      </c>
      <c r="B48" s="5" t="s">
        <v>68</v>
      </c>
      <c r="C48" s="5" t="s">
        <v>68</v>
      </c>
      <c r="D48" s="5" t="s">
        <v>49</v>
      </c>
      <c r="E48" s="5" t="s">
        <v>251</v>
      </c>
      <c r="F48" s="5" t="s">
        <v>27</v>
      </c>
      <c r="G48" s="5" t="s">
        <v>252</v>
      </c>
      <c r="H48" s="5" t="s">
        <v>253</v>
      </c>
      <c r="I48" s="5" t="s">
        <v>52</v>
      </c>
      <c r="J48" s="5" t="s">
        <v>254</v>
      </c>
      <c r="K48" s="7" t="s">
        <v>52</v>
      </c>
    </row>
    <row r="49" spans="1:11" x14ac:dyDescent="0.3">
      <c r="A49" s="2" t="s">
        <v>255</v>
      </c>
      <c r="B49" s="3" t="s">
        <v>68</v>
      </c>
      <c r="C49" s="3" t="s">
        <v>68</v>
      </c>
      <c r="D49" s="3" t="s">
        <v>35</v>
      </c>
      <c r="E49" s="3" t="s">
        <v>256</v>
      </c>
      <c r="F49" s="3" t="s">
        <v>257</v>
      </c>
      <c r="G49" s="3" t="s">
        <v>258</v>
      </c>
      <c r="H49" s="3" t="s">
        <v>259</v>
      </c>
      <c r="I49" s="3" t="s">
        <v>260</v>
      </c>
      <c r="J49" s="3" t="s">
        <v>261</v>
      </c>
      <c r="K49" s="6" t="s">
        <v>52</v>
      </c>
    </row>
    <row r="50" spans="1:11" x14ac:dyDescent="0.3">
      <c r="A50" s="4" t="s">
        <v>262</v>
      </c>
      <c r="B50" s="5" t="s">
        <v>68</v>
      </c>
      <c r="C50" s="5" t="s">
        <v>68</v>
      </c>
      <c r="D50" s="5" t="s">
        <v>49</v>
      </c>
      <c r="E50" s="5" t="s">
        <v>263</v>
      </c>
      <c r="F50" s="5" t="s">
        <v>27</v>
      </c>
      <c r="G50" s="5" t="s">
        <v>264</v>
      </c>
      <c r="H50" s="5" t="s">
        <v>265</v>
      </c>
      <c r="I50" s="5" t="s">
        <v>52</v>
      </c>
      <c r="J50" s="5" t="s">
        <v>266</v>
      </c>
      <c r="K50" s="7" t="s">
        <v>52</v>
      </c>
    </row>
    <row r="51" spans="1:11" x14ac:dyDescent="0.3">
      <c r="A51" s="2" t="s">
        <v>267</v>
      </c>
      <c r="B51" s="3" t="s">
        <v>90</v>
      </c>
      <c r="C51" s="3" t="s">
        <v>637</v>
      </c>
      <c r="D51" s="3" t="s">
        <v>35</v>
      </c>
      <c r="E51" s="3" t="s">
        <v>268</v>
      </c>
      <c r="F51" s="3" t="s">
        <v>27</v>
      </c>
      <c r="G51" s="3" t="s">
        <v>140</v>
      </c>
      <c r="H51" s="3" t="s">
        <v>269</v>
      </c>
      <c r="I51" s="3" t="s">
        <v>52</v>
      </c>
      <c r="J51" s="3" t="s">
        <v>270</v>
      </c>
      <c r="K51" s="6" t="s">
        <v>52</v>
      </c>
    </row>
    <row r="52" spans="1:11" x14ac:dyDescent="0.3">
      <c r="A52" s="4" t="s">
        <v>271</v>
      </c>
      <c r="B52" s="5" t="s">
        <v>272</v>
      </c>
      <c r="C52" s="5" t="s">
        <v>68</v>
      </c>
      <c r="D52" s="5" t="s">
        <v>49</v>
      </c>
      <c r="E52" s="5" t="s">
        <v>273</v>
      </c>
      <c r="F52" s="5" t="s">
        <v>274</v>
      </c>
      <c r="G52" s="5" t="s">
        <v>275</v>
      </c>
      <c r="H52" s="5" t="s">
        <v>276</v>
      </c>
      <c r="I52" s="5" t="s">
        <v>52</v>
      </c>
      <c r="J52" s="5" t="s">
        <v>277</v>
      </c>
      <c r="K52" s="7" t="s">
        <v>52</v>
      </c>
    </row>
    <row r="53" spans="1:11" x14ac:dyDescent="0.3">
      <c r="A53" s="2" t="s">
        <v>278</v>
      </c>
      <c r="B53" s="3" t="s">
        <v>90</v>
      </c>
      <c r="C53" s="3" t="s">
        <v>637</v>
      </c>
      <c r="D53" s="3" t="s">
        <v>35</v>
      </c>
      <c r="E53" s="3" t="s">
        <v>279</v>
      </c>
      <c r="F53" s="3" t="s">
        <v>185</v>
      </c>
      <c r="G53" s="3" t="s">
        <v>280</v>
      </c>
      <c r="H53" s="3" t="s">
        <v>281</v>
      </c>
      <c r="I53" s="3" t="s">
        <v>52</v>
      </c>
      <c r="J53" s="3" t="s">
        <v>282</v>
      </c>
      <c r="K53" s="6" t="s">
        <v>52</v>
      </c>
    </row>
    <row r="54" spans="1:11" x14ac:dyDescent="0.3">
      <c r="A54" s="4" t="s">
        <v>283</v>
      </c>
      <c r="B54" s="5" t="s">
        <v>68</v>
      </c>
      <c r="C54" s="5" t="s">
        <v>68</v>
      </c>
      <c r="D54" s="5" t="s">
        <v>49</v>
      </c>
      <c r="E54" s="5" t="s">
        <v>107</v>
      </c>
      <c r="F54" s="5" t="s">
        <v>27</v>
      </c>
      <c r="G54" s="5" t="s">
        <v>237</v>
      </c>
      <c r="H54" s="5" t="s">
        <v>238</v>
      </c>
      <c r="I54" s="5" t="s">
        <v>52</v>
      </c>
      <c r="J54" s="5" t="s">
        <v>284</v>
      </c>
      <c r="K54" s="7" t="s">
        <v>52</v>
      </c>
    </row>
    <row r="55" spans="1:11" x14ac:dyDescent="0.3">
      <c r="A55" s="2" t="s">
        <v>285</v>
      </c>
      <c r="B55" s="3" t="s">
        <v>68</v>
      </c>
      <c r="C55" s="3" t="s">
        <v>68</v>
      </c>
      <c r="D55" s="3" t="s">
        <v>25</v>
      </c>
      <c r="E55" s="3" t="s">
        <v>286</v>
      </c>
      <c r="F55" s="3" t="s">
        <v>27</v>
      </c>
      <c r="G55" s="3" t="s">
        <v>287</v>
      </c>
      <c r="H55" s="3" t="s">
        <v>288</v>
      </c>
      <c r="I55" s="3" t="s">
        <v>52</v>
      </c>
      <c r="J55" s="3" t="s">
        <v>289</v>
      </c>
      <c r="K55" s="6" t="s">
        <v>52</v>
      </c>
    </row>
    <row r="56" spans="1:11" x14ac:dyDescent="0.3">
      <c r="A56" s="4" t="s">
        <v>290</v>
      </c>
      <c r="B56" s="5" t="s">
        <v>68</v>
      </c>
      <c r="C56" s="5" t="s">
        <v>68</v>
      </c>
      <c r="D56" s="5" t="s">
        <v>62</v>
      </c>
      <c r="E56" s="5" t="s">
        <v>210</v>
      </c>
      <c r="F56" s="5" t="s">
        <v>27</v>
      </c>
      <c r="G56" s="5" t="s">
        <v>291</v>
      </c>
      <c r="H56" s="5" t="s">
        <v>136</v>
      </c>
      <c r="I56" s="5" t="s">
        <v>52</v>
      </c>
      <c r="J56" s="5" t="s">
        <v>292</v>
      </c>
      <c r="K56" s="7" t="s">
        <v>52</v>
      </c>
    </row>
    <row r="57" spans="1:11" x14ac:dyDescent="0.3">
      <c r="A57" s="2" t="s">
        <v>293</v>
      </c>
      <c r="B57" s="3" t="s">
        <v>90</v>
      </c>
      <c r="C57" s="3" t="s">
        <v>637</v>
      </c>
      <c r="D57" s="3" t="s">
        <v>35</v>
      </c>
      <c r="E57" s="3" t="s">
        <v>294</v>
      </c>
      <c r="F57" s="3" t="s">
        <v>27</v>
      </c>
      <c r="G57" s="3" t="s">
        <v>295</v>
      </c>
      <c r="H57" s="3" t="s">
        <v>296</v>
      </c>
      <c r="I57" s="3" t="s">
        <v>52</v>
      </c>
      <c r="J57" s="3" t="s">
        <v>297</v>
      </c>
      <c r="K57" s="6" t="s">
        <v>52</v>
      </c>
    </row>
    <row r="58" spans="1:11" x14ac:dyDescent="0.3">
      <c r="A58" s="4" t="s">
        <v>298</v>
      </c>
      <c r="B58" s="5" t="s">
        <v>68</v>
      </c>
      <c r="C58" s="5" t="s">
        <v>68</v>
      </c>
      <c r="D58" s="5" t="s">
        <v>35</v>
      </c>
      <c r="E58" s="5" t="s">
        <v>122</v>
      </c>
      <c r="F58" s="5" t="s">
        <v>27</v>
      </c>
      <c r="G58" s="5" t="s">
        <v>123</v>
      </c>
      <c r="H58" s="5" t="s">
        <v>124</v>
      </c>
      <c r="I58" s="5" t="s">
        <v>52</v>
      </c>
      <c r="J58" s="5" t="s">
        <v>299</v>
      </c>
      <c r="K58" s="7" t="s">
        <v>52</v>
      </c>
    </row>
    <row r="59" spans="1:11" x14ac:dyDescent="0.3">
      <c r="A59" s="2" t="s">
        <v>300</v>
      </c>
      <c r="B59" s="3" t="s">
        <v>301</v>
      </c>
      <c r="C59" s="3" t="s">
        <v>48</v>
      </c>
      <c r="D59" s="3" t="s">
        <v>35</v>
      </c>
      <c r="E59" s="3" t="s">
        <v>302</v>
      </c>
      <c r="F59" s="3" t="s">
        <v>303</v>
      </c>
      <c r="G59" s="3" t="s">
        <v>304</v>
      </c>
      <c r="H59" s="3" t="s">
        <v>305</v>
      </c>
      <c r="I59" s="3" t="s">
        <v>52</v>
      </c>
      <c r="J59" s="3" t="s">
        <v>306</v>
      </c>
      <c r="K59" s="6" t="s">
        <v>52</v>
      </c>
    </row>
    <row r="60" spans="1:11" x14ac:dyDescent="0.3">
      <c r="A60" s="4" t="s">
        <v>307</v>
      </c>
      <c r="B60" s="5" t="s">
        <v>68</v>
      </c>
      <c r="C60" s="5" t="s">
        <v>68</v>
      </c>
      <c r="D60" s="5" t="s">
        <v>62</v>
      </c>
      <c r="E60" s="5" t="s">
        <v>308</v>
      </c>
      <c r="F60" s="5" t="s">
        <v>27</v>
      </c>
      <c r="G60" s="5" t="s">
        <v>309</v>
      </c>
      <c r="H60" s="5" t="s">
        <v>310</v>
      </c>
      <c r="I60" s="5" t="s">
        <v>52</v>
      </c>
      <c r="J60" s="5" t="s">
        <v>311</v>
      </c>
      <c r="K60" s="7" t="s">
        <v>52</v>
      </c>
    </row>
    <row r="61" spans="1:11" x14ac:dyDescent="0.3">
      <c r="A61" s="2" t="s">
        <v>312</v>
      </c>
      <c r="B61" s="3" t="s">
        <v>68</v>
      </c>
      <c r="C61" s="3" t="s">
        <v>68</v>
      </c>
      <c r="D61" s="3" t="s">
        <v>35</v>
      </c>
      <c r="E61" s="3" t="s">
        <v>313</v>
      </c>
      <c r="F61" s="3" t="s">
        <v>314</v>
      </c>
      <c r="G61" s="3" t="s">
        <v>315</v>
      </c>
      <c r="H61" s="3" t="s">
        <v>316</v>
      </c>
      <c r="I61" s="3" t="s">
        <v>52</v>
      </c>
      <c r="J61" s="3" t="s">
        <v>317</v>
      </c>
      <c r="K61" s="6" t="s">
        <v>52</v>
      </c>
    </row>
    <row r="62" spans="1:11" x14ac:dyDescent="0.3">
      <c r="A62" s="4" t="s">
        <v>318</v>
      </c>
      <c r="B62" s="5" t="s">
        <v>319</v>
      </c>
      <c r="C62" s="5" t="s">
        <v>68</v>
      </c>
      <c r="D62" s="5" t="s">
        <v>49</v>
      </c>
      <c r="E62" s="5" t="s">
        <v>320</v>
      </c>
      <c r="F62" s="5" t="s">
        <v>27</v>
      </c>
      <c r="G62" s="5" t="s">
        <v>321</v>
      </c>
      <c r="H62" s="5" t="s">
        <v>322</v>
      </c>
      <c r="I62" s="5" t="s">
        <v>52</v>
      </c>
      <c r="J62" s="5" t="s">
        <v>323</v>
      </c>
      <c r="K62" s="7" t="s">
        <v>52</v>
      </c>
    </row>
    <row r="63" spans="1:11" x14ac:dyDescent="0.3">
      <c r="A63" s="2" t="s">
        <v>324</v>
      </c>
      <c r="B63" s="3" t="s">
        <v>325</v>
      </c>
      <c r="C63" s="3" t="s">
        <v>85</v>
      </c>
      <c r="D63" s="3" t="s">
        <v>636</v>
      </c>
      <c r="E63" s="3" t="s">
        <v>326</v>
      </c>
      <c r="F63" s="3" t="s">
        <v>27</v>
      </c>
      <c r="G63" s="3" t="s">
        <v>327</v>
      </c>
      <c r="H63" s="3" t="s">
        <v>52</v>
      </c>
      <c r="I63" s="3" t="s">
        <v>52</v>
      </c>
      <c r="J63" s="3" t="s">
        <v>328</v>
      </c>
      <c r="K63" s="6" t="s">
        <v>52</v>
      </c>
    </row>
    <row r="64" spans="1:11" x14ac:dyDescent="0.3">
      <c r="A64" s="4" t="s">
        <v>329</v>
      </c>
      <c r="B64" s="5" t="s">
        <v>68</v>
      </c>
      <c r="C64" s="5" t="s">
        <v>68</v>
      </c>
      <c r="D64" s="5" t="s">
        <v>35</v>
      </c>
      <c r="E64" s="5" t="s">
        <v>139</v>
      </c>
      <c r="F64" s="5" t="s">
        <v>27</v>
      </c>
      <c r="G64" s="5" t="s">
        <v>140</v>
      </c>
      <c r="H64" s="5" t="s">
        <v>141</v>
      </c>
      <c r="I64" s="5" t="s">
        <v>52</v>
      </c>
      <c r="J64" s="5" t="s">
        <v>330</v>
      </c>
      <c r="K64" s="7" t="s">
        <v>52</v>
      </c>
    </row>
    <row r="65" spans="1:11" x14ac:dyDescent="0.3">
      <c r="A65" s="2" t="s">
        <v>331</v>
      </c>
      <c r="B65" s="3" t="s">
        <v>68</v>
      </c>
      <c r="C65" s="3" t="s">
        <v>68</v>
      </c>
      <c r="D65" s="3" t="s">
        <v>35</v>
      </c>
      <c r="E65" s="3" t="s">
        <v>241</v>
      </c>
      <c r="F65" s="3" t="s">
        <v>27</v>
      </c>
      <c r="G65" s="3" t="s">
        <v>332</v>
      </c>
      <c r="H65" s="3" t="s">
        <v>243</v>
      </c>
      <c r="I65" s="3" t="s">
        <v>52</v>
      </c>
      <c r="J65" s="3" t="s">
        <v>333</v>
      </c>
      <c r="K65" s="6" t="s">
        <v>52</v>
      </c>
    </row>
    <row r="66" spans="1:11" x14ac:dyDescent="0.3">
      <c r="A66" s="4" t="s">
        <v>334</v>
      </c>
      <c r="B66" s="5" t="s">
        <v>335</v>
      </c>
      <c r="C66" s="5" t="s">
        <v>68</v>
      </c>
      <c r="D66" s="5" t="s">
        <v>35</v>
      </c>
      <c r="E66" s="5" t="s">
        <v>241</v>
      </c>
      <c r="F66" s="5" t="s">
        <v>27</v>
      </c>
      <c r="G66" s="5" t="s">
        <v>332</v>
      </c>
      <c r="H66" s="5" t="s">
        <v>243</v>
      </c>
      <c r="I66" s="5" t="s">
        <v>52</v>
      </c>
      <c r="J66" s="5" t="s">
        <v>336</v>
      </c>
      <c r="K66" s="7" t="s">
        <v>52</v>
      </c>
    </row>
    <row r="67" spans="1:11" x14ac:dyDescent="0.3">
      <c r="A67" s="2" t="s">
        <v>337</v>
      </c>
      <c r="B67" s="3" t="s">
        <v>68</v>
      </c>
      <c r="C67" s="3" t="s">
        <v>68</v>
      </c>
      <c r="D67" s="3" t="s">
        <v>49</v>
      </c>
      <c r="E67" s="3" t="s">
        <v>338</v>
      </c>
      <c r="F67" s="3" t="s">
        <v>27</v>
      </c>
      <c r="G67" s="3" t="s">
        <v>264</v>
      </c>
      <c r="H67" s="3" t="s">
        <v>265</v>
      </c>
      <c r="I67" s="3" t="s">
        <v>52</v>
      </c>
      <c r="J67" s="3" t="s">
        <v>339</v>
      </c>
      <c r="K67" s="6" t="s">
        <v>52</v>
      </c>
    </row>
    <row r="68" spans="1:11" x14ac:dyDescent="0.3">
      <c r="A68" s="4" t="s">
        <v>340</v>
      </c>
      <c r="B68" s="5" t="s">
        <v>341</v>
      </c>
      <c r="C68" s="5" t="s">
        <v>85</v>
      </c>
      <c r="D68" s="5" t="s">
        <v>636</v>
      </c>
      <c r="E68" s="5" t="s">
        <v>342</v>
      </c>
      <c r="F68" s="5" t="s">
        <v>343</v>
      </c>
      <c r="G68" s="5" t="s">
        <v>344</v>
      </c>
      <c r="H68" s="5" t="s">
        <v>52</v>
      </c>
      <c r="I68" s="5" t="s">
        <v>52</v>
      </c>
      <c r="J68" s="5" t="s">
        <v>345</v>
      </c>
      <c r="K68" s="7" t="s">
        <v>52</v>
      </c>
    </row>
    <row r="69" spans="1:11" x14ac:dyDescent="0.3">
      <c r="A69" s="2" t="s">
        <v>346</v>
      </c>
      <c r="B69" s="3" t="s">
        <v>68</v>
      </c>
      <c r="C69" s="3" t="s">
        <v>68</v>
      </c>
      <c r="D69" s="3" t="s">
        <v>35</v>
      </c>
      <c r="E69" s="3" t="s">
        <v>347</v>
      </c>
      <c r="F69" s="3" t="s">
        <v>348</v>
      </c>
      <c r="G69" s="3" t="s">
        <v>349</v>
      </c>
      <c r="H69" s="3" t="s">
        <v>350</v>
      </c>
      <c r="I69" s="3" t="s">
        <v>52</v>
      </c>
      <c r="J69" s="3" t="s">
        <v>351</v>
      </c>
      <c r="K69" s="6" t="s">
        <v>52</v>
      </c>
    </row>
    <row r="70" spans="1:11" x14ac:dyDescent="0.3">
      <c r="A70" s="4" t="s">
        <v>352</v>
      </c>
      <c r="B70" s="5" t="s">
        <v>68</v>
      </c>
      <c r="C70" s="5" t="s">
        <v>68</v>
      </c>
      <c r="D70" s="5" t="s">
        <v>49</v>
      </c>
      <c r="E70" s="5" t="s">
        <v>184</v>
      </c>
      <c r="F70" s="5" t="s">
        <v>185</v>
      </c>
      <c r="G70" s="5" t="s">
        <v>186</v>
      </c>
      <c r="H70" s="5" t="s">
        <v>353</v>
      </c>
      <c r="I70" s="5" t="s">
        <v>52</v>
      </c>
      <c r="J70" s="5" t="s">
        <v>354</v>
      </c>
      <c r="K70" s="7" t="s">
        <v>52</v>
      </c>
    </row>
    <row r="71" spans="1:11" x14ac:dyDescent="0.3">
      <c r="A71" s="2" t="s">
        <v>355</v>
      </c>
      <c r="B71" s="3" t="s">
        <v>68</v>
      </c>
      <c r="C71" s="3" t="s">
        <v>68</v>
      </c>
      <c r="D71" s="3" t="s">
        <v>25</v>
      </c>
      <c r="E71" s="3" t="s">
        <v>356</v>
      </c>
      <c r="F71" s="3" t="s">
        <v>27</v>
      </c>
      <c r="G71" s="3" t="s">
        <v>357</v>
      </c>
      <c r="H71" s="3" t="s">
        <v>358</v>
      </c>
      <c r="I71" s="3" t="s">
        <v>52</v>
      </c>
      <c r="J71" s="3" t="s">
        <v>359</v>
      </c>
      <c r="K71" s="6" t="s">
        <v>52</v>
      </c>
    </row>
    <row r="72" spans="1:11" x14ac:dyDescent="0.3">
      <c r="A72" s="4" t="s">
        <v>360</v>
      </c>
      <c r="B72" s="5" t="s">
        <v>68</v>
      </c>
      <c r="C72" s="5" t="s">
        <v>68</v>
      </c>
      <c r="D72" s="5" t="s">
        <v>35</v>
      </c>
      <c r="E72" s="5" t="s">
        <v>361</v>
      </c>
      <c r="F72" s="5" t="s">
        <v>257</v>
      </c>
      <c r="G72" s="5" t="s">
        <v>258</v>
      </c>
      <c r="H72" s="5" t="s">
        <v>362</v>
      </c>
      <c r="I72" s="5" t="s">
        <v>52</v>
      </c>
      <c r="J72" s="5" t="s">
        <v>363</v>
      </c>
      <c r="K72" s="7" t="s">
        <v>52</v>
      </c>
    </row>
    <row r="73" spans="1:11" x14ac:dyDescent="0.3">
      <c r="A73" s="2" t="s">
        <v>364</v>
      </c>
      <c r="B73" s="3" t="s">
        <v>68</v>
      </c>
      <c r="C73" s="3" t="s">
        <v>68</v>
      </c>
      <c r="D73" s="3" t="s">
        <v>62</v>
      </c>
      <c r="E73" s="3" t="s">
        <v>365</v>
      </c>
      <c r="F73" s="3" t="s">
        <v>27</v>
      </c>
      <c r="G73" s="3" t="s">
        <v>366</v>
      </c>
      <c r="H73" s="3" t="s">
        <v>367</v>
      </c>
      <c r="I73" s="3" t="s">
        <v>52</v>
      </c>
      <c r="J73" s="3" t="s">
        <v>52</v>
      </c>
      <c r="K73" s="6" t="s">
        <v>52</v>
      </c>
    </row>
    <row r="74" spans="1:11" x14ac:dyDescent="0.3">
      <c r="A74" s="4" t="s">
        <v>368</v>
      </c>
      <c r="B74" s="5" t="s">
        <v>369</v>
      </c>
      <c r="C74" s="5" t="s">
        <v>68</v>
      </c>
      <c r="D74" s="5" t="s">
        <v>49</v>
      </c>
      <c r="E74" s="5" t="s">
        <v>273</v>
      </c>
      <c r="F74" s="5" t="s">
        <v>274</v>
      </c>
      <c r="G74" s="5" t="s">
        <v>370</v>
      </c>
      <c r="H74" s="5" t="s">
        <v>276</v>
      </c>
      <c r="I74" s="5" t="s">
        <v>52</v>
      </c>
      <c r="J74" s="5" t="s">
        <v>371</v>
      </c>
      <c r="K74" s="7" t="s">
        <v>52</v>
      </c>
    </row>
    <row r="75" spans="1:11" x14ac:dyDescent="0.3">
      <c r="A75" s="2" t="s">
        <v>372</v>
      </c>
      <c r="B75" s="3" t="s">
        <v>373</v>
      </c>
      <c r="C75" s="3" t="s">
        <v>68</v>
      </c>
      <c r="D75" s="3" t="s">
        <v>49</v>
      </c>
      <c r="E75" s="3" t="s">
        <v>374</v>
      </c>
      <c r="F75" s="3" t="s">
        <v>27</v>
      </c>
      <c r="G75" s="3" t="s">
        <v>375</v>
      </c>
      <c r="H75" s="3" t="s">
        <v>376</v>
      </c>
      <c r="I75" s="3" t="s">
        <v>52</v>
      </c>
      <c r="J75" s="3" t="s">
        <v>377</v>
      </c>
      <c r="K75" s="6" t="s">
        <v>52</v>
      </c>
    </row>
    <row r="76" spans="1:11" x14ac:dyDescent="0.3">
      <c r="A76" s="4" t="s">
        <v>378</v>
      </c>
      <c r="B76" s="5" t="s">
        <v>68</v>
      </c>
      <c r="C76" s="5" t="s">
        <v>68</v>
      </c>
      <c r="D76" s="5" t="s">
        <v>35</v>
      </c>
      <c r="E76" s="5" t="s">
        <v>379</v>
      </c>
      <c r="F76" s="5" t="s">
        <v>70</v>
      </c>
      <c r="G76" s="5" t="s">
        <v>380</v>
      </c>
      <c r="H76" s="5" t="s">
        <v>381</v>
      </c>
      <c r="I76" s="5" t="s">
        <v>52</v>
      </c>
      <c r="J76" s="5" t="s">
        <v>382</v>
      </c>
      <c r="K76" s="7" t="s">
        <v>52</v>
      </c>
    </row>
    <row r="77" spans="1:11" x14ac:dyDescent="0.3">
      <c r="A77" s="2" t="s">
        <v>383</v>
      </c>
      <c r="B77" s="3" t="s">
        <v>384</v>
      </c>
      <c r="C77" s="3" t="s">
        <v>68</v>
      </c>
      <c r="D77" s="3" t="s">
        <v>35</v>
      </c>
      <c r="E77" s="3" t="s">
        <v>385</v>
      </c>
      <c r="F77" s="3" t="s">
        <v>27</v>
      </c>
      <c r="G77" s="3" t="s">
        <v>180</v>
      </c>
      <c r="H77" s="3" t="s">
        <v>181</v>
      </c>
      <c r="I77" s="3" t="s">
        <v>52</v>
      </c>
      <c r="J77" s="3" t="s">
        <v>386</v>
      </c>
      <c r="K77" s="6" t="s">
        <v>52</v>
      </c>
    </row>
    <row r="78" spans="1:11" x14ac:dyDescent="0.3">
      <c r="A78" s="4" t="s">
        <v>387</v>
      </c>
      <c r="B78" s="5" t="s">
        <v>68</v>
      </c>
      <c r="C78" s="5" t="s">
        <v>68</v>
      </c>
      <c r="D78" s="5" t="s">
        <v>35</v>
      </c>
      <c r="E78" s="5" t="s">
        <v>256</v>
      </c>
      <c r="F78" s="5" t="s">
        <v>257</v>
      </c>
      <c r="G78" s="5" t="s">
        <v>258</v>
      </c>
      <c r="H78" s="5" t="s">
        <v>388</v>
      </c>
      <c r="I78" s="5" t="s">
        <v>52</v>
      </c>
      <c r="J78" s="5" t="s">
        <v>389</v>
      </c>
      <c r="K78" s="7" t="s">
        <v>52</v>
      </c>
    </row>
    <row r="79" spans="1:11" x14ac:dyDescent="0.3">
      <c r="A79" s="2" t="s">
        <v>390</v>
      </c>
      <c r="B79" s="3" t="s">
        <v>68</v>
      </c>
      <c r="C79" s="3" t="s">
        <v>68</v>
      </c>
      <c r="D79" s="3" t="s">
        <v>62</v>
      </c>
      <c r="E79" s="3" t="s">
        <v>247</v>
      </c>
      <c r="F79" s="3" t="s">
        <v>27</v>
      </c>
      <c r="G79" s="3" t="s">
        <v>248</v>
      </c>
      <c r="H79" s="3" t="s">
        <v>136</v>
      </c>
      <c r="I79" s="3" t="s">
        <v>52</v>
      </c>
      <c r="J79" s="3" t="s">
        <v>391</v>
      </c>
      <c r="K79" s="6" t="s">
        <v>52</v>
      </c>
    </row>
    <row r="80" spans="1:11" x14ac:dyDescent="0.3">
      <c r="A80" s="4" t="s">
        <v>392</v>
      </c>
      <c r="B80" s="5" t="s">
        <v>90</v>
      </c>
      <c r="C80" s="5" t="s">
        <v>637</v>
      </c>
      <c r="D80" s="5" t="s">
        <v>35</v>
      </c>
      <c r="E80" s="5" t="s">
        <v>393</v>
      </c>
      <c r="F80" s="5" t="s">
        <v>27</v>
      </c>
      <c r="G80" s="5" t="s">
        <v>394</v>
      </c>
      <c r="H80" s="5" t="s">
        <v>395</v>
      </c>
      <c r="I80" s="5" t="s">
        <v>52</v>
      </c>
      <c r="J80" s="5" t="s">
        <v>396</v>
      </c>
      <c r="K80" s="7" t="s">
        <v>52</v>
      </c>
    </row>
    <row r="81" spans="1:11" x14ac:dyDescent="0.3">
      <c r="A81" s="2" t="s">
        <v>397</v>
      </c>
      <c r="B81" s="3" t="s">
        <v>398</v>
      </c>
      <c r="C81" s="3" t="s">
        <v>68</v>
      </c>
      <c r="D81" s="3" t="s">
        <v>49</v>
      </c>
      <c r="E81" s="3" t="s">
        <v>399</v>
      </c>
      <c r="F81" s="3" t="s">
        <v>27</v>
      </c>
      <c r="G81" s="3" t="s">
        <v>400</v>
      </c>
      <c r="H81" s="3" t="s">
        <v>401</v>
      </c>
      <c r="I81" s="3" t="s">
        <v>52</v>
      </c>
      <c r="J81" s="3" t="s">
        <v>402</v>
      </c>
      <c r="K81" s="6" t="s">
        <v>52</v>
      </c>
    </row>
    <row r="82" spans="1:11" x14ac:dyDescent="0.3">
      <c r="A82" s="4" t="s">
        <v>403</v>
      </c>
      <c r="B82" s="5" t="s">
        <v>272</v>
      </c>
      <c r="C82" s="5" t="s">
        <v>68</v>
      </c>
      <c r="D82" s="5" t="s">
        <v>62</v>
      </c>
      <c r="E82" s="5" t="s">
        <v>134</v>
      </c>
      <c r="F82" s="5" t="s">
        <v>27</v>
      </c>
      <c r="G82" s="5" t="s">
        <v>135</v>
      </c>
      <c r="H82" s="5" t="s">
        <v>136</v>
      </c>
      <c r="I82" s="5" t="s">
        <v>52</v>
      </c>
      <c r="J82" s="5" t="s">
        <v>404</v>
      </c>
      <c r="K82" s="7" t="s">
        <v>52</v>
      </c>
    </row>
    <row r="83" spans="1:11" x14ac:dyDescent="0.3">
      <c r="A83" s="2" t="s">
        <v>405</v>
      </c>
      <c r="B83" s="3" t="s">
        <v>406</v>
      </c>
      <c r="C83" s="3" t="s">
        <v>68</v>
      </c>
      <c r="D83" s="3" t="s">
        <v>49</v>
      </c>
      <c r="E83" s="3" t="s">
        <v>407</v>
      </c>
      <c r="F83" s="3" t="s">
        <v>27</v>
      </c>
      <c r="G83" s="3" t="s">
        <v>408</v>
      </c>
      <c r="H83" s="3" t="s">
        <v>409</v>
      </c>
      <c r="I83" s="3" t="s">
        <v>52</v>
      </c>
      <c r="J83" s="3" t="s">
        <v>410</v>
      </c>
      <c r="K83" s="6" t="s">
        <v>52</v>
      </c>
    </row>
    <row r="84" spans="1:11" x14ac:dyDescent="0.3">
      <c r="A84" s="4" t="s">
        <v>411</v>
      </c>
      <c r="B84" s="5" t="s">
        <v>412</v>
      </c>
      <c r="C84" s="5" t="s">
        <v>637</v>
      </c>
      <c r="D84" s="5" t="s">
        <v>35</v>
      </c>
      <c r="E84" s="5" t="s">
        <v>268</v>
      </c>
      <c r="F84" s="5" t="s">
        <v>27</v>
      </c>
      <c r="G84" s="5" t="s">
        <v>140</v>
      </c>
      <c r="H84" s="5" t="s">
        <v>269</v>
      </c>
      <c r="I84" s="5" t="s">
        <v>52</v>
      </c>
      <c r="J84" s="5" t="s">
        <v>413</v>
      </c>
      <c r="K84" s="7" t="s">
        <v>52</v>
      </c>
    </row>
    <row r="85" spans="1:11" x14ac:dyDescent="0.3">
      <c r="A85" s="2" t="s">
        <v>414</v>
      </c>
      <c r="B85" s="3" t="s">
        <v>68</v>
      </c>
      <c r="C85" s="3" t="s">
        <v>68</v>
      </c>
      <c r="D85" s="3" t="s">
        <v>35</v>
      </c>
      <c r="E85" s="3" t="s">
        <v>92</v>
      </c>
      <c r="F85" s="3" t="s">
        <v>70</v>
      </c>
      <c r="G85" s="3" t="s">
        <v>415</v>
      </c>
      <c r="H85" s="3" t="s">
        <v>416</v>
      </c>
      <c r="I85" s="3" t="s">
        <v>52</v>
      </c>
      <c r="J85" s="3" t="s">
        <v>417</v>
      </c>
      <c r="K85" s="6" t="s">
        <v>52</v>
      </c>
    </row>
    <row r="86" spans="1:11" x14ac:dyDescent="0.3">
      <c r="A86" s="4" t="s">
        <v>418</v>
      </c>
      <c r="B86" s="5" t="s">
        <v>90</v>
      </c>
      <c r="C86" s="5" t="s">
        <v>637</v>
      </c>
      <c r="D86" s="5" t="s">
        <v>35</v>
      </c>
      <c r="E86" s="5" t="s">
        <v>419</v>
      </c>
      <c r="F86" s="5" t="s">
        <v>70</v>
      </c>
      <c r="G86" s="5" t="s">
        <v>420</v>
      </c>
      <c r="H86" s="5" t="s">
        <v>421</v>
      </c>
      <c r="I86" s="5" t="s">
        <v>52</v>
      </c>
      <c r="J86" s="5" t="s">
        <v>422</v>
      </c>
      <c r="K86" s="7" t="s">
        <v>52</v>
      </c>
    </row>
    <row r="87" spans="1:11" x14ac:dyDescent="0.3">
      <c r="A87" s="2" t="s">
        <v>423</v>
      </c>
      <c r="B87" s="3" t="s">
        <v>68</v>
      </c>
      <c r="C87" s="3" t="s">
        <v>68</v>
      </c>
      <c r="D87" s="3" t="s">
        <v>35</v>
      </c>
      <c r="E87" s="3" t="s">
        <v>424</v>
      </c>
      <c r="F87" s="3" t="s">
        <v>303</v>
      </c>
      <c r="G87" s="3" t="s">
        <v>425</v>
      </c>
      <c r="H87" s="3" t="s">
        <v>426</v>
      </c>
      <c r="I87" s="3" t="s">
        <v>52</v>
      </c>
      <c r="J87" s="3" t="s">
        <v>427</v>
      </c>
      <c r="K87" s="6" t="s">
        <v>52</v>
      </c>
    </row>
    <row r="88" spans="1:11" x14ac:dyDescent="0.3">
      <c r="A88" s="4" t="s">
        <v>428</v>
      </c>
      <c r="B88" s="5" t="s">
        <v>429</v>
      </c>
      <c r="C88" s="5" t="s">
        <v>68</v>
      </c>
      <c r="D88" s="5" t="s">
        <v>35</v>
      </c>
      <c r="E88" s="5" t="s">
        <v>430</v>
      </c>
      <c r="F88" s="5" t="s">
        <v>431</v>
      </c>
      <c r="G88" s="5" t="s">
        <v>432</v>
      </c>
      <c r="H88" s="5" t="s">
        <v>433</v>
      </c>
      <c r="I88" s="5" t="s">
        <v>52</v>
      </c>
      <c r="J88" s="5" t="s">
        <v>434</v>
      </c>
      <c r="K88" s="7" t="s">
        <v>52</v>
      </c>
    </row>
    <row r="89" spans="1:11" x14ac:dyDescent="0.3">
      <c r="A89" s="2" t="s">
        <v>435</v>
      </c>
      <c r="B89" s="3" t="s">
        <v>68</v>
      </c>
      <c r="C89" s="3" t="s">
        <v>68</v>
      </c>
      <c r="D89" s="3" t="s">
        <v>49</v>
      </c>
      <c r="E89" s="3" t="s">
        <v>436</v>
      </c>
      <c r="F89" s="3" t="s">
        <v>27</v>
      </c>
      <c r="G89" s="3" t="s">
        <v>237</v>
      </c>
      <c r="H89" s="3" t="s">
        <v>238</v>
      </c>
      <c r="I89" s="3" t="s">
        <v>52</v>
      </c>
      <c r="J89" s="3" t="s">
        <v>437</v>
      </c>
      <c r="K89" s="6" t="s">
        <v>52</v>
      </c>
    </row>
    <row r="90" spans="1:11" x14ac:dyDescent="0.3">
      <c r="A90" s="4" t="s">
        <v>438</v>
      </c>
      <c r="B90" s="5" t="s">
        <v>68</v>
      </c>
      <c r="C90" s="5" t="s">
        <v>68</v>
      </c>
      <c r="D90" s="5" t="s">
        <v>62</v>
      </c>
      <c r="E90" s="5" t="s">
        <v>134</v>
      </c>
      <c r="F90" s="5" t="s">
        <v>27</v>
      </c>
      <c r="G90" s="5" t="s">
        <v>135</v>
      </c>
      <c r="H90" s="5" t="s">
        <v>136</v>
      </c>
      <c r="I90" s="5" t="s">
        <v>52</v>
      </c>
      <c r="J90" s="5" t="s">
        <v>439</v>
      </c>
      <c r="K90" s="7" t="s">
        <v>52</v>
      </c>
    </row>
    <row r="91" spans="1:11" x14ac:dyDescent="0.3">
      <c r="A91" s="2" t="s">
        <v>440</v>
      </c>
      <c r="B91" s="3" t="s">
        <v>441</v>
      </c>
      <c r="C91" s="3" t="s">
        <v>85</v>
      </c>
      <c r="D91" s="3" t="s">
        <v>636</v>
      </c>
      <c r="E91" s="3" t="s">
        <v>442</v>
      </c>
      <c r="F91" s="3" t="s">
        <v>27</v>
      </c>
      <c r="G91" s="3" t="s">
        <v>443</v>
      </c>
      <c r="H91" s="3" t="s">
        <v>52</v>
      </c>
      <c r="I91" s="3" t="s">
        <v>52</v>
      </c>
      <c r="J91" s="3" t="s">
        <v>444</v>
      </c>
      <c r="K91" s="6" t="s">
        <v>52</v>
      </c>
    </row>
    <row r="92" spans="1:11" x14ac:dyDescent="0.3">
      <c r="A92" s="4" t="s">
        <v>445</v>
      </c>
      <c r="B92" s="5" t="s">
        <v>68</v>
      </c>
      <c r="C92" s="5" t="s">
        <v>68</v>
      </c>
      <c r="D92" s="5" t="s">
        <v>35</v>
      </c>
      <c r="E92" s="5" t="s">
        <v>361</v>
      </c>
      <c r="F92" s="5" t="s">
        <v>257</v>
      </c>
      <c r="G92" s="5" t="s">
        <v>258</v>
      </c>
      <c r="H92" s="5" t="s">
        <v>362</v>
      </c>
      <c r="I92" s="5" t="s">
        <v>52</v>
      </c>
      <c r="J92" s="5" t="s">
        <v>446</v>
      </c>
      <c r="K92" s="7" t="s">
        <v>52</v>
      </c>
    </row>
    <row r="93" spans="1:11" x14ac:dyDescent="0.3">
      <c r="A93" s="2" t="s">
        <v>447</v>
      </c>
      <c r="B93" s="3" t="s">
        <v>448</v>
      </c>
      <c r="C93" s="3" t="s">
        <v>85</v>
      </c>
      <c r="D93" s="3" t="s">
        <v>35</v>
      </c>
      <c r="E93" s="3" t="s">
        <v>449</v>
      </c>
      <c r="F93" s="3" t="s">
        <v>450</v>
      </c>
      <c r="G93" s="3" t="s">
        <v>451</v>
      </c>
      <c r="H93" s="3" t="s">
        <v>52</v>
      </c>
      <c r="I93" s="3" t="s">
        <v>52</v>
      </c>
      <c r="J93" s="3" t="s">
        <v>452</v>
      </c>
      <c r="K93" s="6" t="s">
        <v>52</v>
      </c>
    </row>
    <row r="94" spans="1:11" x14ac:dyDescent="0.3">
      <c r="A94" s="4" t="s">
        <v>453</v>
      </c>
      <c r="B94" s="5" t="s">
        <v>68</v>
      </c>
      <c r="C94" s="5" t="s">
        <v>68</v>
      </c>
      <c r="D94" s="5" t="s">
        <v>62</v>
      </c>
      <c r="E94" s="5" t="s">
        <v>454</v>
      </c>
      <c r="F94" s="5" t="s">
        <v>27</v>
      </c>
      <c r="G94" s="5" t="s">
        <v>455</v>
      </c>
      <c r="H94" s="5" t="s">
        <v>136</v>
      </c>
      <c r="I94" s="5" t="s">
        <v>52</v>
      </c>
      <c r="J94" s="5" t="s">
        <v>456</v>
      </c>
      <c r="K94" s="7" t="s">
        <v>52</v>
      </c>
    </row>
    <row r="95" spans="1:11" x14ac:dyDescent="0.3">
      <c r="A95" s="2" t="s">
        <v>457</v>
      </c>
      <c r="B95" s="3" t="s">
        <v>68</v>
      </c>
      <c r="C95" s="3" t="s">
        <v>68</v>
      </c>
      <c r="D95" s="3" t="s">
        <v>35</v>
      </c>
      <c r="E95" s="3" t="s">
        <v>458</v>
      </c>
      <c r="F95" s="3" t="s">
        <v>303</v>
      </c>
      <c r="G95" s="3" t="s">
        <v>174</v>
      </c>
      <c r="H95" s="3" t="s">
        <v>459</v>
      </c>
      <c r="I95" s="3" t="s">
        <v>52</v>
      </c>
      <c r="J95" s="3" t="s">
        <v>460</v>
      </c>
      <c r="K95" s="6" t="s">
        <v>52</v>
      </c>
    </row>
    <row r="96" spans="1:11" x14ac:dyDescent="0.3">
      <c r="A96" s="4" t="s">
        <v>461</v>
      </c>
      <c r="B96" s="5" t="s">
        <v>462</v>
      </c>
      <c r="C96" s="5" t="s">
        <v>85</v>
      </c>
      <c r="D96" s="5" t="s">
        <v>35</v>
      </c>
      <c r="E96" s="5" t="s">
        <v>463</v>
      </c>
      <c r="F96" s="5" t="s">
        <v>464</v>
      </c>
      <c r="G96" s="5" t="s">
        <v>465</v>
      </c>
      <c r="H96" s="5" t="s">
        <v>52</v>
      </c>
      <c r="I96" s="5" t="s">
        <v>52</v>
      </c>
      <c r="J96" s="5" t="s">
        <v>466</v>
      </c>
      <c r="K96" s="7" t="s">
        <v>52</v>
      </c>
    </row>
    <row r="97" spans="1:11" x14ac:dyDescent="0.3">
      <c r="A97" s="2" t="s">
        <v>467</v>
      </c>
      <c r="B97" s="3" t="s">
        <v>68</v>
      </c>
      <c r="C97" s="3" t="s">
        <v>68</v>
      </c>
      <c r="D97" s="3" t="s">
        <v>35</v>
      </c>
      <c r="E97" s="3" t="s">
        <v>468</v>
      </c>
      <c r="F97" s="3" t="s">
        <v>303</v>
      </c>
      <c r="G97" s="3" t="s">
        <v>425</v>
      </c>
      <c r="H97" s="3" t="s">
        <v>305</v>
      </c>
      <c r="I97" s="3" t="s">
        <v>52</v>
      </c>
      <c r="J97" s="3" t="s">
        <v>469</v>
      </c>
      <c r="K97" s="6" t="s">
        <v>52</v>
      </c>
    </row>
    <row r="98" spans="1:11" x14ac:dyDescent="0.3">
      <c r="A98" s="4" t="s">
        <v>470</v>
      </c>
      <c r="B98" s="5" t="s">
        <v>68</v>
      </c>
      <c r="C98" s="5" t="s">
        <v>68</v>
      </c>
      <c r="D98" s="5" t="s">
        <v>35</v>
      </c>
      <c r="E98" s="5" t="s">
        <v>279</v>
      </c>
      <c r="F98" s="5" t="s">
        <v>185</v>
      </c>
      <c r="G98" s="5" t="s">
        <v>471</v>
      </c>
      <c r="H98" s="5" t="s">
        <v>281</v>
      </c>
      <c r="I98" s="5" t="s">
        <v>52</v>
      </c>
      <c r="J98" s="5" t="s">
        <v>472</v>
      </c>
      <c r="K98" s="7" t="s">
        <v>52</v>
      </c>
    </row>
    <row r="99" spans="1:11" x14ac:dyDescent="0.3">
      <c r="A99" s="2" t="s">
        <v>473</v>
      </c>
      <c r="B99" s="3" t="s">
        <v>474</v>
      </c>
      <c r="C99" s="3" t="s">
        <v>85</v>
      </c>
      <c r="D99" s="3" t="s">
        <v>636</v>
      </c>
      <c r="E99" s="3" t="s">
        <v>475</v>
      </c>
      <c r="F99" s="3" t="s">
        <v>27</v>
      </c>
      <c r="G99" s="3" t="s">
        <v>476</v>
      </c>
      <c r="H99" s="3" t="s">
        <v>52</v>
      </c>
      <c r="I99" s="3" t="s">
        <v>52</v>
      </c>
      <c r="J99" s="3" t="s">
        <v>477</v>
      </c>
      <c r="K99" s="6" t="s">
        <v>52</v>
      </c>
    </row>
    <row r="100" spans="1:11" x14ac:dyDescent="0.3">
      <c r="A100" s="4" t="s">
        <v>478</v>
      </c>
      <c r="B100" s="5" t="s">
        <v>68</v>
      </c>
      <c r="C100" s="5" t="s">
        <v>68</v>
      </c>
      <c r="D100" s="5" t="s">
        <v>49</v>
      </c>
      <c r="E100" s="5" t="s">
        <v>479</v>
      </c>
      <c r="F100" s="5" t="s">
        <v>27</v>
      </c>
      <c r="G100" s="5" t="s">
        <v>191</v>
      </c>
      <c r="H100" s="5" t="s">
        <v>480</v>
      </c>
      <c r="I100" s="5" t="s">
        <v>52</v>
      </c>
      <c r="J100" s="5" t="s">
        <v>481</v>
      </c>
      <c r="K100" s="7" t="s">
        <v>52</v>
      </c>
    </row>
    <row r="101" spans="1:11" x14ac:dyDescent="0.3">
      <c r="A101" s="2" t="s">
        <v>482</v>
      </c>
      <c r="B101" s="3" t="s">
        <v>483</v>
      </c>
      <c r="C101" s="3" t="s">
        <v>85</v>
      </c>
      <c r="D101" s="3" t="s">
        <v>636</v>
      </c>
      <c r="E101" s="3" t="s">
        <v>484</v>
      </c>
      <c r="F101" s="3" t="s">
        <v>485</v>
      </c>
      <c r="G101" s="3" t="s">
        <v>486</v>
      </c>
      <c r="H101" s="3" t="s">
        <v>52</v>
      </c>
      <c r="I101" s="3" t="s">
        <v>52</v>
      </c>
      <c r="J101" s="3" t="s">
        <v>487</v>
      </c>
      <c r="K101" s="6" t="s">
        <v>52</v>
      </c>
    </row>
    <row r="102" spans="1:11" x14ac:dyDescent="0.3">
      <c r="A102" s="4" t="s">
        <v>488</v>
      </c>
      <c r="B102" s="5" t="s">
        <v>489</v>
      </c>
      <c r="C102" s="5" t="s">
        <v>85</v>
      </c>
      <c r="D102" s="5" t="s">
        <v>636</v>
      </c>
      <c r="E102" s="5" t="s">
        <v>490</v>
      </c>
      <c r="F102" s="5" t="s">
        <v>27</v>
      </c>
      <c r="G102" s="5" t="s">
        <v>491</v>
      </c>
      <c r="H102" s="5" t="s">
        <v>52</v>
      </c>
      <c r="I102" s="5" t="s">
        <v>52</v>
      </c>
      <c r="J102" s="5" t="s">
        <v>492</v>
      </c>
      <c r="K102" s="7" t="s">
        <v>52</v>
      </c>
    </row>
    <row r="103" spans="1:11" x14ac:dyDescent="0.3">
      <c r="A103" s="2" t="s">
        <v>493</v>
      </c>
      <c r="B103" s="3" t="s">
        <v>68</v>
      </c>
      <c r="C103" s="3" t="s">
        <v>68</v>
      </c>
      <c r="D103" s="3" t="s">
        <v>62</v>
      </c>
      <c r="E103" s="3" t="s">
        <v>134</v>
      </c>
      <c r="F103" s="3" t="s">
        <v>27</v>
      </c>
      <c r="G103" s="3" t="s">
        <v>248</v>
      </c>
      <c r="H103" s="3" t="s">
        <v>136</v>
      </c>
      <c r="I103" s="3" t="s">
        <v>52</v>
      </c>
      <c r="J103" s="3" t="s">
        <v>494</v>
      </c>
      <c r="K103" s="6" t="s">
        <v>52</v>
      </c>
    </row>
    <row r="104" spans="1:11" x14ac:dyDescent="0.3">
      <c r="A104" s="4" t="s">
        <v>495</v>
      </c>
      <c r="B104" s="5" t="s">
        <v>68</v>
      </c>
      <c r="C104" s="5" t="s">
        <v>68</v>
      </c>
      <c r="D104" s="5" t="s">
        <v>49</v>
      </c>
      <c r="E104" s="5" t="s">
        <v>496</v>
      </c>
      <c r="F104" s="5" t="s">
        <v>27</v>
      </c>
      <c r="G104" s="5" t="s">
        <v>497</v>
      </c>
      <c r="H104" s="5" t="s">
        <v>498</v>
      </c>
      <c r="I104" s="5" t="s">
        <v>52</v>
      </c>
      <c r="J104" s="5" t="s">
        <v>499</v>
      </c>
      <c r="K104" s="7" t="s">
        <v>52</v>
      </c>
    </row>
    <row r="105" spans="1:11" x14ac:dyDescent="0.3">
      <c r="A105" s="2" t="s">
        <v>500</v>
      </c>
      <c r="B105" s="3" t="s">
        <v>501</v>
      </c>
      <c r="C105" s="3" t="s">
        <v>68</v>
      </c>
      <c r="D105" s="3" t="s">
        <v>49</v>
      </c>
      <c r="E105" s="3" t="s">
        <v>502</v>
      </c>
      <c r="F105" s="3" t="s">
        <v>27</v>
      </c>
      <c r="G105" s="3" t="s">
        <v>503</v>
      </c>
      <c r="H105" s="3" t="s">
        <v>504</v>
      </c>
      <c r="I105" s="3" t="s">
        <v>52</v>
      </c>
      <c r="J105" s="3" t="s">
        <v>505</v>
      </c>
      <c r="K105" s="6" t="s">
        <v>52</v>
      </c>
    </row>
    <row r="106" spans="1:11" x14ac:dyDescent="0.3">
      <c r="A106" s="4" t="s">
        <v>506</v>
      </c>
      <c r="B106" s="5" t="s">
        <v>68</v>
      </c>
      <c r="C106" s="5" t="s">
        <v>68</v>
      </c>
      <c r="D106" s="5" t="s">
        <v>25</v>
      </c>
      <c r="E106" s="5" t="s">
        <v>507</v>
      </c>
      <c r="F106" s="5" t="s">
        <v>27</v>
      </c>
      <c r="G106" s="5" t="s">
        <v>508</v>
      </c>
      <c r="H106" s="5" t="s">
        <v>288</v>
      </c>
      <c r="I106" s="5" t="s">
        <v>52</v>
      </c>
      <c r="J106" s="5" t="s">
        <v>509</v>
      </c>
      <c r="K106" s="7" t="s">
        <v>52</v>
      </c>
    </row>
    <row r="107" spans="1:11" x14ac:dyDescent="0.3">
      <c r="A107" s="2" t="s">
        <v>510</v>
      </c>
      <c r="B107" s="3" t="s">
        <v>68</v>
      </c>
      <c r="C107" s="3" t="s">
        <v>68</v>
      </c>
      <c r="D107" s="3" t="s">
        <v>35</v>
      </c>
      <c r="E107" s="3" t="s">
        <v>511</v>
      </c>
      <c r="F107" s="3" t="s">
        <v>512</v>
      </c>
      <c r="G107" s="3" t="s">
        <v>513</v>
      </c>
      <c r="H107" s="3" t="s">
        <v>514</v>
      </c>
      <c r="I107" s="3" t="s">
        <v>52</v>
      </c>
      <c r="J107" s="3" t="s">
        <v>515</v>
      </c>
      <c r="K107" s="6" t="s">
        <v>52</v>
      </c>
    </row>
    <row r="108" spans="1:11" x14ac:dyDescent="0.3">
      <c r="A108" s="4" t="s">
        <v>516</v>
      </c>
      <c r="B108" s="5" t="s">
        <v>68</v>
      </c>
      <c r="C108" s="5" t="s">
        <v>68</v>
      </c>
      <c r="D108" s="5" t="s">
        <v>35</v>
      </c>
      <c r="E108" s="5" t="s">
        <v>241</v>
      </c>
      <c r="F108" s="5" t="s">
        <v>27</v>
      </c>
      <c r="G108" s="5" t="s">
        <v>332</v>
      </c>
      <c r="H108" s="5" t="s">
        <v>243</v>
      </c>
      <c r="I108" s="5" t="s">
        <v>52</v>
      </c>
      <c r="J108" s="5" t="s">
        <v>517</v>
      </c>
      <c r="K108" s="7" t="s">
        <v>52</v>
      </c>
    </row>
    <row r="109" spans="1:11" x14ac:dyDescent="0.3">
      <c r="A109" s="2" t="s">
        <v>518</v>
      </c>
      <c r="B109" s="3" t="s">
        <v>68</v>
      </c>
      <c r="C109" s="3" t="s">
        <v>68</v>
      </c>
      <c r="D109" s="3" t="s">
        <v>49</v>
      </c>
      <c r="E109" s="3" t="s">
        <v>374</v>
      </c>
      <c r="F109" s="3" t="s">
        <v>27</v>
      </c>
      <c r="G109" s="3" t="s">
        <v>519</v>
      </c>
      <c r="H109" s="3" t="s">
        <v>498</v>
      </c>
      <c r="I109" s="3" t="s">
        <v>52</v>
      </c>
      <c r="J109" s="3" t="s">
        <v>520</v>
      </c>
      <c r="K109" s="6" t="s">
        <v>52</v>
      </c>
    </row>
    <row r="110" spans="1:11" x14ac:dyDescent="0.3">
      <c r="A110" s="4" t="s">
        <v>521</v>
      </c>
      <c r="B110" s="5" t="s">
        <v>68</v>
      </c>
      <c r="C110" s="5" t="s">
        <v>68</v>
      </c>
      <c r="D110" s="5" t="s">
        <v>35</v>
      </c>
      <c r="E110" s="5" t="s">
        <v>522</v>
      </c>
      <c r="F110" s="5" t="s">
        <v>303</v>
      </c>
      <c r="G110" s="5" t="s">
        <v>523</v>
      </c>
      <c r="H110" s="5" t="s">
        <v>305</v>
      </c>
      <c r="I110" s="5" t="s">
        <v>52</v>
      </c>
      <c r="J110" s="5" t="s">
        <v>524</v>
      </c>
      <c r="K110" s="7" t="s">
        <v>52</v>
      </c>
    </row>
    <row r="111" spans="1:11" x14ac:dyDescent="0.3">
      <c r="A111" s="2" t="s">
        <v>525</v>
      </c>
      <c r="B111" s="3" t="s">
        <v>68</v>
      </c>
      <c r="C111" s="3" t="s">
        <v>68</v>
      </c>
      <c r="D111" s="3" t="s">
        <v>49</v>
      </c>
      <c r="E111" s="3" t="s">
        <v>436</v>
      </c>
      <c r="F111" s="3" t="s">
        <v>27</v>
      </c>
      <c r="G111" s="3" t="s">
        <v>526</v>
      </c>
      <c r="H111" s="3" t="s">
        <v>238</v>
      </c>
      <c r="I111" s="3" t="s">
        <v>52</v>
      </c>
      <c r="J111" s="3" t="s">
        <v>527</v>
      </c>
      <c r="K111" s="6" t="s">
        <v>52</v>
      </c>
    </row>
    <row r="112" spans="1:11" x14ac:dyDescent="0.3">
      <c r="A112" s="4" t="s">
        <v>528</v>
      </c>
      <c r="B112" s="5" t="s">
        <v>68</v>
      </c>
      <c r="C112" s="5" t="s">
        <v>68</v>
      </c>
      <c r="D112" s="5" t="s">
        <v>35</v>
      </c>
      <c r="E112" s="5" t="s">
        <v>139</v>
      </c>
      <c r="F112" s="5" t="s">
        <v>27</v>
      </c>
      <c r="G112" s="5" t="s">
        <v>140</v>
      </c>
      <c r="H112" s="5" t="s">
        <v>141</v>
      </c>
      <c r="I112" s="5" t="s">
        <v>52</v>
      </c>
      <c r="J112" s="5" t="s">
        <v>529</v>
      </c>
      <c r="K112" s="7" t="s">
        <v>52</v>
      </c>
    </row>
    <row r="113" spans="1:11" x14ac:dyDescent="0.3">
      <c r="A113" s="2" t="s">
        <v>530</v>
      </c>
      <c r="B113" s="3" t="s">
        <v>68</v>
      </c>
      <c r="C113" s="3" t="s">
        <v>68</v>
      </c>
      <c r="D113" s="3" t="s">
        <v>49</v>
      </c>
      <c r="E113" s="3" t="s">
        <v>436</v>
      </c>
      <c r="F113" s="3" t="s">
        <v>27</v>
      </c>
      <c r="G113" s="3" t="s">
        <v>531</v>
      </c>
      <c r="H113" s="3" t="s">
        <v>238</v>
      </c>
      <c r="I113" s="3" t="s">
        <v>52</v>
      </c>
      <c r="J113" s="3" t="s">
        <v>532</v>
      </c>
      <c r="K113" s="6" t="s">
        <v>52</v>
      </c>
    </row>
    <row r="114" spans="1:11" x14ac:dyDescent="0.3">
      <c r="A114" s="4" t="s">
        <v>533</v>
      </c>
      <c r="B114" s="5" t="s">
        <v>68</v>
      </c>
      <c r="C114" s="5" t="s">
        <v>68</v>
      </c>
      <c r="D114" s="5" t="s">
        <v>35</v>
      </c>
      <c r="E114" s="5" t="s">
        <v>534</v>
      </c>
      <c r="F114" s="5" t="s">
        <v>303</v>
      </c>
      <c r="G114" s="5" t="s">
        <v>535</v>
      </c>
      <c r="H114" s="5" t="s">
        <v>536</v>
      </c>
      <c r="I114" s="5" t="s">
        <v>52</v>
      </c>
      <c r="J114" s="5" t="s">
        <v>537</v>
      </c>
      <c r="K114" s="7" t="s">
        <v>52</v>
      </c>
    </row>
    <row r="115" spans="1:11" x14ac:dyDescent="0.3">
      <c r="A115" s="2" t="s">
        <v>538</v>
      </c>
      <c r="B115" s="3" t="s">
        <v>68</v>
      </c>
      <c r="C115" s="3" t="s">
        <v>68</v>
      </c>
      <c r="D115" s="3" t="s">
        <v>35</v>
      </c>
      <c r="E115" s="3" t="s">
        <v>302</v>
      </c>
      <c r="F115" s="3" t="s">
        <v>303</v>
      </c>
      <c r="G115" s="3" t="s">
        <v>304</v>
      </c>
      <c r="H115" s="3" t="s">
        <v>305</v>
      </c>
      <c r="I115" s="3" t="s">
        <v>52</v>
      </c>
      <c r="J115" s="3" t="s">
        <v>539</v>
      </c>
      <c r="K115" s="6" t="s">
        <v>52</v>
      </c>
    </row>
    <row r="116" spans="1:11" x14ac:dyDescent="0.3">
      <c r="A116" s="4" t="s">
        <v>540</v>
      </c>
      <c r="B116" s="5" t="s">
        <v>68</v>
      </c>
      <c r="C116" s="5" t="s">
        <v>68</v>
      </c>
      <c r="D116" s="5" t="s">
        <v>35</v>
      </c>
      <c r="E116" s="5" t="s">
        <v>541</v>
      </c>
      <c r="F116" s="5" t="s">
        <v>542</v>
      </c>
      <c r="G116" s="5" t="s">
        <v>543</v>
      </c>
      <c r="H116" s="5" t="s">
        <v>544</v>
      </c>
      <c r="I116" s="5" t="s">
        <v>52</v>
      </c>
      <c r="J116" s="5" t="s">
        <v>545</v>
      </c>
      <c r="K116" s="7" t="s">
        <v>52</v>
      </c>
    </row>
    <row r="117" spans="1:11" x14ac:dyDescent="0.3">
      <c r="A117" s="2" t="s">
        <v>546</v>
      </c>
      <c r="B117" s="3" t="s">
        <v>90</v>
      </c>
      <c r="C117" s="3" t="s">
        <v>637</v>
      </c>
      <c r="D117" s="3" t="s">
        <v>35</v>
      </c>
      <c r="E117" s="3" t="s">
        <v>547</v>
      </c>
      <c r="F117" s="3" t="s">
        <v>70</v>
      </c>
      <c r="G117" s="3" t="s">
        <v>548</v>
      </c>
      <c r="H117" s="3" t="s">
        <v>549</v>
      </c>
      <c r="I117" s="3" t="s">
        <v>52</v>
      </c>
      <c r="J117" s="3" t="s">
        <v>550</v>
      </c>
      <c r="K117" s="6" t="s">
        <v>52</v>
      </c>
    </row>
    <row r="118" spans="1:11" x14ac:dyDescent="0.3">
      <c r="A118" s="4" t="s">
        <v>551</v>
      </c>
      <c r="B118" s="5" t="s">
        <v>552</v>
      </c>
      <c r="C118" s="5" t="s">
        <v>68</v>
      </c>
      <c r="D118" s="5" t="s">
        <v>553</v>
      </c>
      <c r="E118" s="5" t="s">
        <v>554</v>
      </c>
      <c r="F118" s="5" t="s">
        <v>27</v>
      </c>
      <c r="G118" s="5" t="s">
        <v>555</v>
      </c>
      <c r="H118" s="5" t="s">
        <v>52</v>
      </c>
      <c r="I118" s="5" t="s">
        <v>52</v>
      </c>
      <c r="J118" s="5" t="s">
        <v>556</v>
      </c>
      <c r="K118" s="7" t="s">
        <v>52</v>
      </c>
    </row>
    <row r="119" spans="1:11" x14ac:dyDescent="0.3">
      <c r="A119" s="2" t="s">
        <v>557</v>
      </c>
      <c r="B119" s="3" t="s">
        <v>68</v>
      </c>
      <c r="C119" s="3" t="s">
        <v>68</v>
      </c>
      <c r="D119" s="3" t="s">
        <v>49</v>
      </c>
      <c r="E119" s="3" t="s">
        <v>558</v>
      </c>
      <c r="F119" s="3" t="s">
        <v>274</v>
      </c>
      <c r="G119" s="3" t="s">
        <v>559</v>
      </c>
      <c r="H119" s="3" t="s">
        <v>276</v>
      </c>
      <c r="I119" s="3" t="s">
        <v>52</v>
      </c>
      <c r="J119" s="3" t="s">
        <v>560</v>
      </c>
      <c r="K119" s="6" t="s">
        <v>52</v>
      </c>
    </row>
    <row r="120" spans="1:11" x14ac:dyDescent="0.3">
      <c r="A120" s="4" t="s">
        <v>561</v>
      </c>
      <c r="B120" s="5" t="s">
        <v>68</v>
      </c>
      <c r="C120" s="5" t="s">
        <v>68</v>
      </c>
      <c r="D120" s="5" t="s">
        <v>35</v>
      </c>
      <c r="E120" s="5" t="s">
        <v>347</v>
      </c>
      <c r="F120" s="5" t="s">
        <v>348</v>
      </c>
      <c r="G120" s="5" t="s">
        <v>562</v>
      </c>
      <c r="H120" s="5" t="s">
        <v>563</v>
      </c>
      <c r="I120" s="5" t="s">
        <v>52</v>
      </c>
      <c r="J120" s="5" t="s">
        <v>564</v>
      </c>
      <c r="K120" s="7" t="s">
        <v>52</v>
      </c>
    </row>
    <row r="121" spans="1:11" x14ac:dyDescent="0.3">
      <c r="A121" s="2" t="s">
        <v>565</v>
      </c>
      <c r="B121" s="3" t="s">
        <v>68</v>
      </c>
      <c r="C121" s="3" t="s">
        <v>68</v>
      </c>
      <c r="D121" s="3" t="s">
        <v>49</v>
      </c>
      <c r="E121" s="3" t="s">
        <v>184</v>
      </c>
      <c r="F121" s="3" t="s">
        <v>185</v>
      </c>
      <c r="G121" s="3" t="s">
        <v>186</v>
      </c>
      <c r="H121" s="3" t="s">
        <v>353</v>
      </c>
      <c r="I121" s="3" t="s">
        <v>52</v>
      </c>
      <c r="J121" s="3" t="s">
        <v>566</v>
      </c>
      <c r="K121" s="6" t="s">
        <v>52</v>
      </c>
    </row>
    <row r="122" spans="1:11" x14ac:dyDescent="0.3">
      <c r="A122" s="4" t="s">
        <v>567</v>
      </c>
      <c r="B122" s="5" t="s">
        <v>68</v>
      </c>
      <c r="C122" s="5" t="s">
        <v>68</v>
      </c>
      <c r="D122" s="5" t="s">
        <v>49</v>
      </c>
      <c r="E122" s="5" t="s">
        <v>273</v>
      </c>
      <c r="F122" s="5" t="s">
        <v>274</v>
      </c>
      <c r="G122" s="5" t="s">
        <v>568</v>
      </c>
      <c r="H122" s="5" t="s">
        <v>276</v>
      </c>
      <c r="I122" s="5" t="s">
        <v>52</v>
      </c>
      <c r="J122" s="5" t="s">
        <v>569</v>
      </c>
      <c r="K122" s="7" t="s">
        <v>52</v>
      </c>
    </row>
    <row r="123" spans="1:11" x14ac:dyDescent="0.3">
      <c r="A123" s="2" t="s">
        <v>570</v>
      </c>
      <c r="B123" s="3" t="s">
        <v>571</v>
      </c>
      <c r="C123" s="3" t="s">
        <v>85</v>
      </c>
      <c r="D123" s="3" t="s">
        <v>35</v>
      </c>
      <c r="E123" s="3" t="s">
        <v>101</v>
      </c>
      <c r="F123" s="3" t="s">
        <v>27</v>
      </c>
      <c r="G123" s="3" t="s">
        <v>572</v>
      </c>
      <c r="H123" s="3" t="s">
        <v>105</v>
      </c>
      <c r="I123" s="3" t="s">
        <v>52</v>
      </c>
      <c r="J123" s="3" t="s">
        <v>573</v>
      </c>
      <c r="K123" s="6" t="s">
        <v>52</v>
      </c>
    </row>
    <row r="124" spans="1:11" x14ac:dyDescent="0.3">
      <c r="A124" s="4" t="s">
        <v>574</v>
      </c>
      <c r="B124" s="5" t="s">
        <v>68</v>
      </c>
      <c r="C124" s="5" t="s">
        <v>68</v>
      </c>
      <c r="D124" s="5" t="s">
        <v>49</v>
      </c>
      <c r="E124" s="5" t="s">
        <v>184</v>
      </c>
      <c r="F124" s="5" t="s">
        <v>185</v>
      </c>
      <c r="G124" s="5" t="s">
        <v>186</v>
      </c>
      <c r="H124" s="5" t="s">
        <v>353</v>
      </c>
      <c r="I124" s="5" t="s">
        <v>52</v>
      </c>
      <c r="J124" s="5" t="s">
        <v>575</v>
      </c>
      <c r="K124" s="7" t="s">
        <v>52</v>
      </c>
    </row>
    <row r="125" spans="1:11" x14ac:dyDescent="0.3">
      <c r="A125" s="2" t="s">
        <v>576</v>
      </c>
      <c r="B125" s="3" t="s">
        <v>68</v>
      </c>
      <c r="C125" s="3" t="s">
        <v>68</v>
      </c>
      <c r="D125" s="3" t="s">
        <v>25</v>
      </c>
      <c r="E125" s="3" t="s">
        <v>577</v>
      </c>
      <c r="F125" s="3" t="s">
        <v>27</v>
      </c>
      <c r="G125" s="3" t="s">
        <v>578</v>
      </c>
      <c r="H125" s="3" t="s">
        <v>288</v>
      </c>
      <c r="I125" s="3" t="s">
        <v>52</v>
      </c>
      <c r="J125" s="3" t="s">
        <v>579</v>
      </c>
      <c r="K125" s="6" t="s">
        <v>52</v>
      </c>
    </row>
    <row r="126" spans="1:11" x14ac:dyDescent="0.3">
      <c r="A126" s="4" t="s">
        <v>580</v>
      </c>
      <c r="B126" s="5" t="s">
        <v>335</v>
      </c>
      <c r="C126" s="5" t="s">
        <v>68</v>
      </c>
      <c r="D126" s="5" t="s">
        <v>35</v>
      </c>
      <c r="E126" s="5" t="s">
        <v>241</v>
      </c>
      <c r="F126" s="5" t="s">
        <v>581</v>
      </c>
      <c r="G126" s="5" t="s">
        <v>582</v>
      </c>
      <c r="H126" s="5" t="s">
        <v>243</v>
      </c>
      <c r="I126" s="5" t="s">
        <v>52</v>
      </c>
      <c r="J126" s="5" t="s">
        <v>583</v>
      </c>
      <c r="K126" s="7" t="s">
        <v>52</v>
      </c>
    </row>
    <row r="127" spans="1:11" x14ac:dyDescent="0.3">
      <c r="A127" s="2" t="s">
        <v>584</v>
      </c>
      <c r="B127" s="3" t="s">
        <v>585</v>
      </c>
      <c r="C127" s="3" t="s">
        <v>68</v>
      </c>
      <c r="D127" s="3" t="s">
        <v>49</v>
      </c>
      <c r="E127" s="3" t="s">
        <v>586</v>
      </c>
      <c r="F127" s="3" t="s">
        <v>27</v>
      </c>
      <c r="G127" s="3" t="s">
        <v>587</v>
      </c>
      <c r="H127" s="3" t="s">
        <v>588</v>
      </c>
      <c r="I127" s="3" t="s">
        <v>52</v>
      </c>
      <c r="J127" s="3" t="s">
        <v>589</v>
      </c>
      <c r="K127" s="6" t="s">
        <v>52</v>
      </c>
    </row>
    <row r="128" spans="1:11" x14ac:dyDescent="0.3">
      <c r="A128" s="4" t="s">
        <v>590</v>
      </c>
      <c r="B128" s="5" t="s">
        <v>591</v>
      </c>
      <c r="C128" s="5" t="s">
        <v>68</v>
      </c>
      <c r="D128" s="5" t="s">
        <v>35</v>
      </c>
      <c r="E128" s="5" t="s">
        <v>592</v>
      </c>
      <c r="F128" s="5" t="s">
        <v>593</v>
      </c>
      <c r="G128" s="5" t="s">
        <v>594</v>
      </c>
      <c r="H128" s="5" t="s">
        <v>595</v>
      </c>
      <c r="I128" s="5" t="s">
        <v>52</v>
      </c>
      <c r="J128" s="5" t="s">
        <v>52</v>
      </c>
      <c r="K128" s="7" t="s">
        <v>52</v>
      </c>
    </row>
    <row r="129" spans="1:11" x14ac:dyDescent="0.3">
      <c r="A129" s="2" t="s">
        <v>596</v>
      </c>
      <c r="B129" s="3" t="s">
        <v>68</v>
      </c>
      <c r="C129" s="3" t="s">
        <v>68</v>
      </c>
      <c r="D129" s="3" t="s">
        <v>35</v>
      </c>
      <c r="E129" s="3" t="s">
        <v>597</v>
      </c>
      <c r="F129" s="3" t="s">
        <v>581</v>
      </c>
      <c r="G129" s="3" t="s">
        <v>598</v>
      </c>
      <c r="H129" s="3" t="s">
        <v>243</v>
      </c>
      <c r="I129" s="3" t="s">
        <v>52</v>
      </c>
      <c r="J129" s="3" t="s">
        <v>599</v>
      </c>
      <c r="K129" s="6" t="s">
        <v>52</v>
      </c>
    </row>
    <row r="130" spans="1:11" x14ac:dyDescent="0.3">
      <c r="A130" s="4" t="s">
        <v>600</v>
      </c>
      <c r="B130" s="5" t="s">
        <v>68</v>
      </c>
      <c r="C130" s="5" t="s">
        <v>68</v>
      </c>
      <c r="D130" s="5" t="s">
        <v>35</v>
      </c>
      <c r="E130" s="5" t="s">
        <v>601</v>
      </c>
      <c r="F130" s="5" t="s">
        <v>431</v>
      </c>
      <c r="G130" s="5" t="s">
        <v>602</v>
      </c>
      <c r="H130" s="5" t="s">
        <v>603</v>
      </c>
      <c r="I130" s="5" t="s">
        <v>52</v>
      </c>
      <c r="J130" s="5" t="s">
        <v>604</v>
      </c>
      <c r="K130" s="7" t="s">
        <v>52</v>
      </c>
    </row>
    <row r="131" spans="1:11" x14ac:dyDescent="0.3">
      <c r="A131" s="2" t="s">
        <v>605</v>
      </c>
      <c r="B131" s="3" t="s">
        <v>178</v>
      </c>
      <c r="C131" s="3" t="s">
        <v>68</v>
      </c>
      <c r="D131" s="3" t="s">
        <v>35</v>
      </c>
      <c r="E131" s="3" t="s">
        <v>606</v>
      </c>
      <c r="F131" s="3" t="s">
        <v>27</v>
      </c>
      <c r="G131" s="3" t="s">
        <v>607</v>
      </c>
      <c r="H131" s="3" t="s">
        <v>181</v>
      </c>
      <c r="I131" s="3" t="s">
        <v>52</v>
      </c>
      <c r="J131" s="3" t="s">
        <v>608</v>
      </c>
      <c r="K131" s="6" t="s">
        <v>52</v>
      </c>
    </row>
    <row r="132" spans="1:11" x14ac:dyDescent="0.3">
      <c r="A132" s="17" t="s">
        <v>609</v>
      </c>
      <c r="B132" s="18" t="s">
        <v>610</v>
      </c>
      <c r="C132" s="18" t="s">
        <v>85</v>
      </c>
      <c r="D132" s="18" t="s">
        <v>636</v>
      </c>
      <c r="E132" s="18" t="s">
        <v>611</v>
      </c>
      <c r="F132" s="18" t="s">
        <v>27</v>
      </c>
      <c r="G132" s="18" t="s">
        <v>612</v>
      </c>
      <c r="H132" s="18" t="s">
        <v>52</v>
      </c>
      <c r="I132" s="18" t="s">
        <v>52</v>
      </c>
      <c r="J132" s="18" t="s">
        <v>613</v>
      </c>
      <c r="K132" s="19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088D-0F6E-44D3-A9B9-F6E91A0DCA17}">
  <dimension ref="A1:K26"/>
  <sheetViews>
    <sheetView workbookViewId="0">
      <selection activeCell="A2" sqref="A2:K26"/>
    </sheetView>
  </sheetViews>
  <sheetFormatPr baseColWidth="10" defaultRowHeight="14.4" x14ac:dyDescent="0.3"/>
  <cols>
    <col min="1" max="1" width="25.88671875" bestFit="1" customWidth="1"/>
    <col min="2" max="2" width="52.21875" bestFit="1" customWidth="1"/>
    <col min="3" max="3" width="13.88671875" bestFit="1" customWidth="1"/>
    <col min="4" max="4" width="21.33203125" bestFit="1" customWidth="1"/>
    <col min="5" max="5" width="33.5546875" bestFit="1" customWidth="1"/>
    <col min="6" max="6" width="19.6640625" bestFit="1" customWidth="1"/>
    <col min="7" max="7" width="58.21875" bestFit="1" customWidth="1"/>
    <col min="8" max="8" width="35.109375" bestFit="1" customWidth="1"/>
    <col min="9" max="9" width="19.21875" bestFit="1" customWidth="1"/>
    <col min="10" max="10" width="64.554687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518</v>
      </c>
      <c r="B3" t="s">
        <v>68</v>
      </c>
      <c r="C3" t="s">
        <v>24</v>
      </c>
      <c r="D3" t="s">
        <v>49</v>
      </c>
      <c r="E3" t="s">
        <v>374</v>
      </c>
      <c r="F3" t="s">
        <v>27</v>
      </c>
      <c r="G3" t="s">
        <v>519</v>
      </c>
      <c r="H3" t="s">
        <v>498</v>
      </c>
      <c r="I3" t="s">
        <v>52</v>
      </c>
      <c r="J3" t="s">
        <v>520</v>
      </c>
      <c r="K3" t="s">
        <v>52</v>
      </c>
    </row>
    <row r="4" spans="1:11" x14ac:dyDescent="0.3">
      <c r="A4" t="s">
        <v>521</v>
      </c>
      <c r="B4" t="s">
        <v>68</v>
      </c>
      <c r="C4" t="s">
        <v>24</v>
      </c>
      <c r="D4" t="s">
        <v>35</v>
      </c>
      <c r="E4" t="s">
        <v>522</v>
      </c>
      <c r="F4" t="s">
        <v>303</v>
      </c>
      <c r="G4" t="s">
        <v>523</v>
      </c>
      <c r="H4" t="s">
        <v>305</v>
      </c>
      <c r="I4" t="s">
        <v>52</v>
      </c>
      <c r="J4" t="s">
        <v>524</v>
      </c>
      <c r="K4" t="s">
        <v>52</v>
      </c>
    </row>
    <row r="5" spans="1:11" x14ac:dyDescent="0.3">
      <c r="A5" t="s">
        <v>525</v>
      </c>
      <c r="B5" t="s">
        <v>68</v>
      </c>
      <c r="C5" t="s">
        <v>24</v>
      </c>
      <c r="D5" t="s">
        <v>49</v>
      </c>
      <c r="E5" t="s">
        <v>436</v>
      </c>
      <c r="F5" t="s">
        <v>27</v>
      </c>
      <c r="G5" t="s">
        <v>526</v>
      </c>
      <c r="H5" t="s">
        <v>238</v>
      </c>
      <c r="I5" t="s">
        <v>52</v>
      </c>
      <c r="J5" t="s">
        <v>527</v>
      </c>
      <c r="K5" t="s">
        <v>52</v>
      </c>
    </row>
    <row r="6" spans="1:11" x14ac:dyDescent="0.3">
      <c r="A6" t="s">
        <v>528</v>
      </c>
      <c r="B6" t="s">
        <v>68</v>
      </c>
      <c r="C6" t="s">
        <v>24</v>
      </c>
      <c r="D6" t="s">
        <v>35</v>
      </c>
      <c r="E6" t="s">
        <v>139</v>
      </c>
      <c r="F6" t="s">
        <v>27</v>
      </c>
      <c r="G6" t="s">
        <v>140</v>
      </c>
      <c r="H6" t="s">
        <v>141</v>
      </c>
      <c r="I6" t="s">
        <v>52</v>
      </c>
      <c r="J6" t="s">
        <v>529</v>
      </c>
      <c r="K6" t="s">
        <v>52</v>
      </c>
    </row>
    <row r="7" spans="1:11" x14ac:dyDescent="0.3">
      <c r="A7" t="s">
        <v>530</v>
      </c>
      <c r="B7" t="s">
        <v>68</v>
      </c>
      <c r="C7" t="s">
        <v>24</v>
      </c>
      <c r="D7" t="s">
        <v>49</v>
      </c>
      <c r="E7" t="s">
        <v>436</v>
      </c>
      <c r="F7" t="s">
        <v>27</v>
      </c>
      <c r="G7" t="s">
        <v>531</v>
      </c>
      <c r="H7" t="s">
        <v>238</v>
      </c>
      <c r="I7" t="s">
        <v>52</v>
      </c>
      <c r="J7" t="s">
        <v>532</v>
      </c>
      <c r="K7" t="s">
        <v>52</v>
      </c>
    </row>
    <row r="8" spans="1:11" x14ac:dyDescent="0.3">
      <c r="A8" t="s">
        <v>533</v>
      </c>
      <c r="B8" t="s">
        <v>68</v>
      </c>
      <c r="C8" t="s">
        <v>24</v>
      </c>
      <c r="D8" t="s">
        <v>35</v>
      </c>
      <c r="E8" t="s">
        <v>534</v>
      </c>
      <c r="F8" t="s">
        <v>303</v>
      </c>
      <c r="G8" t="s">
        <v>535</v>
      </c>
      <c r="H8" t="s">
        <v>536</v>
      </c>
      <c r="I8" t="s">
        <v>52</v>
      </c>
      <c r="J8" t="s">
        <v>537</v>
      </c>
      <c r="K8" t="s">
        <v>52</v>
      </c>
    </row>
    <row r="9" spans="1:11" x14ac:dyDescent="0.3">
      <c r="A9" t="s">
        <v>538</v>
      </c>
      <c r="B9" t="s">
        <v>68</v>
      </c>
      <c r="C9" t="s">
        <v>24</v>
      </c>
      <c r="D9" t="s">
        <v>35</v>
      </c>
      <c r="E9" t="s">
        <v>302</v>
      </c>
      <c r="F9" t="s">
        <v>303</v>
      </c>
      <c r="G9" t="s">
        <v>304</v>
      </c>
      <c r="H9" t="s">
        <v>305</v>
      </c>
      <c r="I9" t="s">
        <v>52</v>
      </c>
      <c r="J9" t="s">
        <v>539</v>
      </c>
      <c r="K9" t="s">
        <v>52</v>
      </c>
    </row>
    <row r="10" spans="1:11" x14ac:dyDescent="0.3">
      <c r="A10" t="s">
        <v>540</v>
      </c>
      <c r="B10" t="s">
        <v>68</v>
      </c>
      <c r="C10" t="s">
        <v>24</v>
      </c>
      <c r="D10" t="s">
        <v>35</v>
      </c>
      <c r="E10" t="s">
        <v>541</v>
      </c>
      <c r="F10" t="s">
        <v>542</v>
      </c>
      <c r="G10" t="s">
        <v>543</v>
      </c>
      <c r="H10" t="s">
        <v>544</v>
      </c>
      <c r="I10" t="s">
        <v>52</v>
      </c>
      <c r="J10" t="s">
        <v>545</v>
      </c>
      <c r="K10" t="s">
        <v>52</v>
      </c>
    </row>
    <row r="11" spans="1:11" x14ac:dyDescent="0.3">
      <c r="A11" t="s">
        <v>546</v>
      </c>
      <c r="B11" t="s">
        <v>90</v>
      </c>
      <c r="C11" t="s">
        <v>91</v>
      </c>
      <c r="D11" t="s">
        <v>35</v>
      </c>
      <c r="E11" t="s">
        <v>547</v>
      </c>
      <c r="F11" t="s">
        <v>70</v>
      </c>
      <c r="G11" t="s">
        <v>548</v>
      </c>
      <c r="H11" t="s">
        <v>549</v>
      </c>
      <c r="I11" t="s">
        <v>52</v>
      </c>
      <c r="J11" t="s">
        <v>550</v>
      </c>
      <c r="K11" t="s">
        <v>52</v>
      </c>
    </row>
    <row r="12" spans="1:11" x14ac:dyDescent="0.3">
      <c r="A12" t="s">
        <v>551</v>
      </c>
      <c r="B12" t="s">
        <v>552</v>
      </c>
      <c r="C12" t="s">
        <v>24</v>
      </c>
      <c r="D12" t="s">
        <v>553</v>
      </c>
      <c r="E12" t="s">
        <v>554</v>
      </c>
      <c r="F12" t="s">
        <v>27</v>
      </c>
      <c r="G12" t="s">
        <v>555</v>
      </c>
      <c r="H12" t="s">
        <v>52</v>
      </c>
      <c r="I12" t="s">
        <v>52</v>
      </c>
      <c r="J12" t="s">
        <v>556</v>
      </c>
      <c r="K12" t="s">
        <v>52</v>
      </c>
    </row>
    <row r="13" spans="1:11" x14ac:dyDescent="0.3">
      <c r="A13" t="s">
        <v>557</v>
      </c>
      <c r="B13" t="s">
        <v>68</v>
      </c>
      <c r="C13" t="s">
        <v>24</v>
      </c>
      <c r="D13" t="s">
        <v>49</v>
      </c>
      <c r="E13" t="s">
        <v>558</v>
      </c>
      <c r="F13" t="s">
        <v>274</v>
      </c>
      <c r="G13" t="s">
        <v>559</v>
      </c>
      <c r="H13" t="s">
        <v>276</v>
      </c>
      <c r="I13" t="s">
        <v>52</v>
      </c>
      <c r="J13" t="s">
        <v>560</v>
      </c>
      <c r="K13" t="s">
        <v>52</v>
      </c>
    </row>
    <row r="14" spans="1:11" x14ac:dyDescent="0.3">
      <c r="A14" t="s">
        <v>561</v>
      </c>
      <c r="B14" t="s">
        <v>68</v>
      </c>
      <c r="C14" t="s">
        <v>24</v>
      </c>
      <c r="D14" t="s">
        <v>35</v>
      </c>
      <c r="E14" t="s">
        <v>347</v>
      </c>
      <c r="F14" t="s">
        <v>348</v>
      </c>
      <c r="G14" t="s">
        <v>562</v>
      </c>
      <c r="H14" t="s">
        <v>563</v>
      </c>
      <c r="I14" t="s">
        <v>52</v>
      </c>
      <c r="J14" t="s">
        <v>564</v>
      </c>
      <c r="K14" t="s">
        <v>52</v>
      </c>
    </row>
    <row r="15" spans="1:11" x14ac:dyDescent="0.3">
      <c r="A15" t="s">
        <v>565</v>
      </c>
      <c r="B15" t="s">
        <v>68</v>
      </c>
      <c r="C15" t="s">
        <v>24</v>
      </c>
      <c r="D15" t="s">
        <v>49</v>
      </c>
      <c r="E15" t="s">
        <v>184</v>
      </c>
      <c r="F15" t="s">
        <v>185</v>
      </c>
      <c r="G15" t="s">
        <v>186</v>
      </c>
      <c r="H15" t="s">
        <v>353</v>
      </c>
      <c r="I15" t="s">
        <v>52</v>
      </c>
      <c r="J15" t="s">
        <v>566</v>
      </c>
      <c r="K15" t="s">
        <v>52</v>
      </c>
    </row>
    <row r="16" spans="1:11" x14ac:dyDescent="0.3">
      <c r="A16" t="s">
        <v>567</v>
      </c>
      <c r="B16" t="s">
        <v>68</v>
      </c>
      <c r="C16" t="s">
        <v>24</v>
      </c>
      <c r="D16" t="s">
        <v>49</v>
      </c>
      <c r="E16" t="s">
        <v>273</v>
      </c>
      <c r="F16" t="s">
        <v>274</v>
      </c>
      <c r="G16" t="s">
        <v>568</v>
      </c>
      <c r="H16" t="s">
        <v>276</v>
      </c>
      <c r="I16" t="s">
        <v>52</v>
      </c>
      <c r="J16" t="s">
        <v>569</v>
      </c>
      <c r="K16" t="s">
        <v>52</v>
      </c>
    </row>
    <row r="17" spans="1:11" x14ac:dyDescent="0.3">
      <c r="A17" t="s">
        <v>570</v>
      </c>
      <c r="B17" t="s">
        <v>571</v>
      </c>
      <c r="C17" t="s">
        <v>85</v>
      </c>
      <c r="D17" t="s">
        <v>35</v>
      </c>
      <c r="E17" t="s">
        <v>101</v>
      </c>
      <c r="F17" t="s">
        <v>27</v>
      </c>
      <c r="G17" t="s">
        <v>572</v>
      </c>
      <c r="H17" t="s">
        <v>105</v>
      </c>
      <c r="I17" t="s">
        <v>52</v>
      </c>
      <c r="J17" t="s">
        <v>573</v>
      </c>
      <c r="K17" t="s">
        <v>52</v>
      </c>
    </row>
    <row r="18" spans="1:11" x14ac:dyDescent="0.3">
      <c r="A18" t="s">
        <v>574</v>
      </c>
      <c r="B18" t="s">
        <v>68</v>
      </c>
      <c r="C18" t="s">
        <v>24</v>
      </c>
      <c r="D18" t="s">
        <v>49</v>
      </c>
      <c r="E18" t="s">
        <v>184</v>
      </c>
      <c r="F18" t="s">
        <v>185</v>
      </c>
      <c r="G18" t="s">
        <v>186</v>
      </c>
      <c r="H18" t="s">
        <v>353</v>
      </c>
      <c r="I18" t="s">
        <v>52</v>
      </c>
      <c r="J18" t="s">
        <v>575</v>
      </c>
      <c r="K18" t="s">
        <v>52</v>
      </c>
    </row>
    <row r="19" spans="1:11" x14ac:dyDescent="0.3">
      <c r="A19" t="s">
        <v>576</v>
      </c>
      <c r="B19" t="s">
        <v>68</v>
      </c>
      <c r="C19" t="s">
        <v>24</v>
      </c>
      <c r="D19" t="s">
        <v>25</v>
      </c>
      <c r="E19" t="s">
        <v>577</v>
      </c>
      <c r="F19" t="s">
        <v>27</v>
      </c>
      <c r="G19" t="s">
        <v>578</v>
      </c>
      <c r="H19" t="s">
        <v>288</v>
      </c>
      <c r="I19" t="s">
        <v>52</v>
      </c>
      <c r="J19" t="s">
        <v>579</v>
      </c>
      <c r="K19" t="s">
        <v>52</v>
      </c>
    </row>
    <row r="20" spans="1:11" x14ac:dyDescent="0.3">
      <c r="A20" t="s">
        <v>580</v>
      </c>
      <c r="B20" t="s">
        <v>335</v>
      </c>
      <c r="C20" t="s">
        <v>24</v>
      </c>
      <c r="D20" t="s">
        <v>35</v>
      </c>
      <c r="E20" t="s">
        <v>241</v>
      </c>
      <c r="F20" t="s">
        <v>581</v>
      </c>
      <c r="G20" t="s">
        <v>582</v>
      </c>
      <c r="H20" t="s">
        <v>243</v>
      </c>
      <c r="I20" t="s">
        <v>52</v>
      </c>
      <c r="J20" t="s">
        <v>583</v>
      </c>
      <c r="K20" t="s">
        <v>52</v>
      </c>
    </row>
    <row r="21" spans="1:11" x14ac:dyDescent="0.3">
      <c r="A21" t="s">
        <v>584</v>
      </c>
      <c r="B21" t="s">
        <v>585</v>
      </c>
      <c r="C21" t="s">
        <v>24</v>
      </c>
      <c r="D21" t="s">
        <v>49</v>
      </c>
      <c r="E21" t="s">
        <v>586</v>
      </c>
      <c r="F21" t="s">
        <v>27</v>
      </c>
      <c r="G21" t="s">
        <v>587</v>
      </c>
      <c r="H21" t="s">
        <v>588</v>
      </c>
      <c r="I21" t="s">
        <v>52</v>
      </c>
      <c r="J21" t="s">
        <v>589</v>
      </c>
      <c r="K21" t="s">
        <v>52</v>
      </c>
    </row>
    <row r="22" spans="1:11" x14ac:dyDescent="0.3">
      <c r="A22" t="s">
        <v>590</v>
      </c>
      <c r="B22" t="s">
        <v>591</v>
      </c>
      <c r="C22" t="s">
        <v>24</v>
      </c>
      <c r="D22" t="s">
        <v>35</v>
      </c>
      <c r="E22" t="s">
        <v>592</v>
      </c>
      <c r="F22" t="s">
        <v>593</v>
      </c>
      <c r="G22" t="s">
        <v>594</v>
      </c>
      <c r="H22" t="s">
        <v>595</v>
      </c>
      <c r="I22" t="s">
        <v>52</v>
      </c>
      <c r="J22" t="s">
        <v>52</v>
      </c>
      <c r="K22" t="s">
        <v>52</v>
      </c>
    </row>
    <row r="23" spans="1:11" x14ac:dyDescent="0.3">
      <c r="A23" t="s">
        <v>596</v>
      </c>
      <c r="B23" t="s">
        <v>68</v>
      </c>
      <c r="C23" t="s">
        <v>24</v>
      </c>
      <c r="D23" t="s">
        <v>35</v>
      </c>
      <c r="E23" t="s">
        <v>597</v>
      </c>
      <c r="F23" t="s">
        <v>581</v>
      </c>
      <c r="G23" t="s">
        <v>598</v>
      </c>
      <c r="H23" t="s">
        <v>243</v>
      </c>
      <c r="I23" t="s">
        <v>52</v>
      </c>
      <c r="J23" t="s">
        <v>599</v>
      </c>
      <c r="K23" t="s">
        <v>52</v>
      </c>
    </row>
    <row r="24" spans="1:11" x14ac:dyDescent="0.3">
      <c r="A24" t="s">
        <v>600</v>
      </c>
      <c r="B24" t="s">
        <v>68</v>
      </c>
      <c r="C24" t="s">
        <v>24</v>
      </c>
      <c r="D24" t="s">
        <v>35</v>
      </c>
      <c r="E24" t="s">
        <v>601</v>
      </c>
      <c r="F24" t="s">
        <v>431</v>
      </c>
      <c r="G24" t="s">
        <v>602</v>
      </c>
      <c r="H24" t="s">
        <v>603</v>
      </c>
      <c r="I24" t="s">
        <v>52</v>
      </c>
      <c r="J24" t="s">
        <v>604</v>
      </c>
      <c r="K24" t="s">
        <v>52</v>
      </c>
    </row>
    <row r="25" spans="1:11" x14ac:dyDescent="0.3">
      <c r="A25" t="s">
        <v>605</v>
      </c>
      <c r="B25" t="s">
        <v>178</v>
      </c>
      <c r="C25" t="s">
        <v>24</v>
      </c>
      <c r="D25" t="s">
        <v>35</v>
      </c>
      <c r="E25" t="s">
        <v>606</v>
      </c>
      <c r="F25" t="s">
        <v>27</v>
      </c>
      <c r="G25" t="s">
        <v>607</v>
      </c>
      <c r="H25" t="s">
        <v>181</v>
      </c>
      <c r="I25" t="s">
        <v>52</v>
      </c>
      <c r="J25" t="s">
        <v>608</v>
      </c>
      <c r="K25" t="s">
        <v>52</v>
      </c>
    </row>
    <row r="26" spans="1:11" x14ac:dyDescent="0.3">
      <c r="A26" t="s">
        <v>609</v>
      </c>
      <c r="B26" t="s">
        <v>610</v>
      </c>
      <c r="C26" t="s">
        <v>85</v>
      </c>
      <c r="D26" t="s">
        <v>52</v>
      </c>
      <c r="E26" t="s">
        <v>611</v>
      </c>
      <c r="F26" t="s">
        <v>27</v>
      </c>
      <c r="G26" t="s">
        <v>612</v>
      </c>
      <c r="H26" t="s">
        <v>52</v>
      </c>
      <c r="I26" t="s">
        <v>52</v>
      </c>
      <c r="J26" t="s">
        <v>613</v>
      </c>
      <c r="K26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D769-7B90-47DA-AF60-33376255E725}">
  <dimension ref="A1:K36"/>
  <sheetViews>
    <sheetView topLeftCell="A19" workbookViewId="0">
      <selection activeCell="A3" sqref="A3:K36"/>
    </sheetView>
  </sheetViews>
  <sheetFormatPr baseColWidth="10" defaultRowHeight="14.4" x14ac:dyDescent="0.3"/>
  <cols>
    <col min="1" max="1" width="25.88671875" bestFit="1" customWidth="1"/>
    <col min="2" max="2" width="56.77734375" bestFit="1" customWidth="1"/>
    <col min="3" max="3" width="13.88671875" bestFit="1" customWidth="1"/>
    <col min="4" max="4" width="19" bestFit="1" customWidth="1"/>
    <col min="5" max="5" width="47.109375" bestFit="1" customWidth="1"/>
    <col min="6" max="6" width="19.5546875" bestFit="1" customWidth="1"/>
    <col min="7" max="7" width="46.33203125" bestFit="1" customWidth="1"/>
    <col min="8" max="8" width="59" bestFit="1" customWidth="1"/>
    <col min="9" max="9" width="19.21875" bestFit="1" customWidth="1"/>
    <col min="10" max="10" width="63.4414062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372</v>
      </c>
      <c r="B3" t="s">
        <v>373</v>
      </c>
      <c r="C3" t="s">
        <v>24</v>
      </c>
      <c r="D3" t="s">
        <v>49</v>
      </c>
      <c r="E3" t="s">
        <v>374</v>
      </c>
      <c r="F3" t="s">
        <v>27</v>
      </c>
      <c r="G3" t="s">
        <v>375</v>
      </c>
      <c r="H3" t="s">
        <v>376</v>
      </c>
      <c r="I3" t="s">
        <v>52</v>
      </c>
      <c r="J3" t="s">
        <v>377</v>
      </c>
      <c r="K3" t="s">
        <v>52</v>
      </c>
    </row>
    <row r="4" spans="1:11" x14ac:dyDescent="0.3">
      <c r="A4" t="s">
        <v>378</v>
      </c>
      <c r="B4" t="s">
        <v>68</v>
      </c>
      <c r="C4" t="s">
        <v>24</v>
      </c>
      <c r="D4" t="s">
        <v>35</v>
      </c>
      <c r="E4" t="s">
        <v>379</v>
      </c>
      <c r="F4" t="s">
        <v>70</v>
      </c>
      <c r="G4" t="s">
        <v>380</v>
      </c>
      <c r="H4" t="s">
        <v>381</v>
      </c>
      <c r="I4" t="s">
        <v>52</v>
      </c>
      <c r="J4" t="s">
        <v>382</v>
      </c>
      <c r="K4" t="s">
        <v>52</v>
      </c>
    </row>
    <row r="5" spans="1:11" x14ac:dyDescent="0.3">
      <c r="A5" t="s">
        <v>383</v>
      </c>
      <c r="B5" t="s">
        <v>384</v>
      </c>
      <c r="C5" t="s">
        <v>24</v>
      </c>
      <c r="D5" t="s">
        <v>35</v>
      </c>
      <c r="E5" t="s">
        <v>385</v>
      </c>
      <c r="F5" t="s">
        <v>27</v>
      </c>
      <c r="G5" t="s">
        <v>180</v>
      </c>
      <c r="H5" t="s">
        <v>181</v>
      </c>
      <c r="I5" t="s">
        <v>52</v>
      </c>
      <c r="J5" t="s">
        <v>386</v>
      </c>
      <c r="K5" t="s">
        <v>52</v>
      </c>
    </row>
    <row r="6" spans="1:11" x14ac:dyDescent="0.3">
      <c r="A6" t="s">
        <v>387</v>
      </c>
      <c r="B6" t="s">
        <v>68</v>
      </c>
      <c r="C6" t="s">
        <v>24</v>
      </c>
      <c r="D6" t="s">
        <v>35</v>
      </c>
      <c r="E6" t="s">
        <v>256</v>
      </c>
      <c r="F6" t="s">
        <v>257</v>
      </c>
      <c r="G6" t="s">
        <v>258</v>
      </c>
      <c r="H6" t="s">
        <v>388</v>
      </c>
      <c r="I6" t="s">
        <v>52</v>
      </c>
      <c r="J6" t="s">
        <v>389</v>
      </c>
      <c r="K6" t="s">
        <v>52</v>
      </c>
    </row>
    <row r="7" spans="1:11" x14ac:dyDescent="0.3">
      <c r="A7" t="s">
        <v>390</v>
      </c>
      <c r="B7" t="s">
        <v>68</v>
      </c>
      <c r="C7" t="s">
        <v>24</v>
      </c>
      <c r="D7" t="s">
        <v>62</v>
      </c>
      <c r="E7" t="s">
        <v>247</v>
      </c>
      <c r="F7" t="s">
        <v>27</v>
      </c>
      <c r="G7" t="s">
        <v>248</v>
      </c>
      <c r="H7" t="s">
        <v>136</v>
      </c>
      <c r="I7" t="s">
        <v>52</v>
      </c>
      <c r="J7" t="s">
        <v>391</v>
      </c>
      <c r="K7" t="s">
        <v>52</v>
      </c>
    </row>
    <row r="8" spans="1:11" x14ac:dyDescent="0.3">
      <c r="A8" t="s">
        <v>392</v>
      </c>
      <c r="B8" t="s">
        <v>90</v>
      </c>
      <c r="C8" t="s">
        <v>91</v>
      </c>
      <c r="D8" t="s">
        <v>35</v>
      </c>
      <c r="E8" t="s">
        <v>393</v>
      </c>
      <c r="F8" t="s">
        <v>27</v>
      </c>
      <c r="G8" t="s">
        <v>394</v>
      </c>
      <c r="H8" t="s">
        <v>395</v>
      </c>
      <c r="I8" t="s">
        <v>52</v>
      </c>
      <c r="J8" t="s">
        <v>396</v>
      </c>
      <c r="K8" t="s">
        <v>52</v>
      </c>
    </row>
    <row r="9" spans="1:11" x14ac:dyDescent="0.3">
      <c r="A9" t="s">
        <v>397</v>
      </c>
      <c r="B9" t="s">
        <v>398</v>
      </c>
      <c r="C9" t="s">
        <v>24</v>
      </c>
      <c r="D9" t="s">
        <v>49</v>
      </c>
      <c r="E9" t="s">
        <v>399</v>
      </c>
      <c r="F9" t="s">
        <v>27</v>
      </c>
      <c r="G9" t="s">
        <v>400</v>
      </c>
      <c r="H9" t="s">
        <v>401</v>
      </c>
      <c r="I9" t="s">
        <v>52</v>
      </c>
      <c r="J9" t="s">
        <v>402</v>
      </c>
      <c r="K9" t="s">
        <v>52</v>
      </c>
    </row>
    <row r="10" spans="1:11" x14ac:dyDescent="0.3">
      <c r="A10" t="s">
        <v>403</v>
      </c>
      <c r="B10" t="s">
        <v>272</v>
      </c>
      <c r="C10" t="s">
        <v>24</v>
      </c>
      <c r="D10" t="s">
        <v>62</v>
      </c>
      <c r="E10" t="s">
        <v>134</v>
      </c>
      <c r="F10" t="s">
        <v>27</v>
      </c>
      <c r="G10" t="s">
        <v>135</v>
      </c>
      <c r="H10" t="s">
        <v>136</v>
      </c>
      <c r="I10" t="s">
        <v>52</v>
      </c>
      <c r="J10" t="s">
        <v>404</v>
      </c>
      <c r="K10" t="s">
        <v>52</v>
      </c>
    </row>
    <row r="11" spans="1:11" x14ac:dyDescent="0.3">
      <c r="A11" t="s">
        <v>405</v>
      </c>
      <c r="B11" t="s">
        <v>406</v>
      </c>
      <c r="C11" t="s">
        <v>24</v>
      </c>
      <c r="D11" t="s">
        <v>49</v>
      </c>
      <c r="E11" t="s">
        <v>407</v>
      </c>
      <c r="F11" t="s">
        <v>27</v>
      </c>
      <c r="G11" t="s">
        <v>408</v>
      </c>
      <c r="H11" t="s">
        <v>409</v>
      </c>
      <c r="I11" t="s">
        <v>52</v>
      </c>
      <c r="J11" t="s">
        <v>410</v>
      </c>
      <c r="K11" t="s">
        <v>52</v>
      </c>
    </row>
    <row r="12" spans="1:11" x14ac:dyDescent="0.3">
      <c r="A12" t="s">
        <v>411</v>
      </c>
      <c r="B12" t="s">
        <v>412</v>
      </c>
      <c r="C12" t="s">
        <v>91</v>
      </c>
      <c r="D12" t="s">
        <v>35</v>
      </c>
      <c r="E12" t="s">
        <v>268</v>
      </c>
      <c r="F12" t="s">
        <v>27</v>
      </c>
      <c r="G12" t="s">
        <v>140</v>
      </c>
      <c r="H12" t="s">
        <v>269</v>
      </c>
      <c r="I12" t="s">
        <v>52</v>
      </c>
      <c r="J12" t="s">
        <v>413</v>
      </c>
      <c r="K12" t="s">
        <v>52</v>
      </c>
    </row>
    <row r="13" spans="1:11" x14ac:dyDescent="0.3">
      <c r="A13" t="s">
        <v>414</v>
      </c>
      <c r="B13" t="s">
        <v>68</v>
      </c>
      <c r="C13" t="s">
        <v>24</v>
      </c>
      <c r="D13" t="s">
        <v>35</v>
      </c>
      <c r="E13" t="s">
        <v>92</v>
      </c>
      <c r="F13" t="s">
        <v>70</v>
      </c>
      <c r="G13" t="s">
        <v>415</v>
      </c>
      <c r="H13" t="s">
        <v>416</v>
      </c>
      <c r="I13" t="s">
        <v>52</v>
      </c>
      <c r="J13" t="s">
        <v>417</v>
      </c>
      <c r="K13" t="s">
        <v>52</v>
      </c>
    </row>
    <row r="14" spans="1:11" x14ac:dyDescent="0.3">
      <c r="A14" t="s">
        <v>418</v>
      </c>
      <c r="B14" t="s">
        <v>90</v>
      </c>
      <c r="C14" t="s">
        <v>91</v>
      </c>
      <c r="D14" t="s">
        <v>35</v>
      </c>
      <c r="E14" t="s">
        <v>419</v>
      </c>
      <c r="F14" t="s">
        <v>70</v>
      </c>
      <c r="G14" t="s">
        <v>420</v>
      </c>
      <c r="H14" t="s">
        <v>421</v>
      </c>
      <c r="I14" t="s">
        <v>52</v>
      </c>
      <c r="J14" t="s">
        <v>422</v>
      </c>
      <c r="K14" t="s">
        <v>52</v>
      </c>
    </row>
    <row r="15" spans="1:11" x14ac:dyDescent="0.3">
      <c r="A15" t="s">
        <v>423</v>
      </c>
      <c r="B15" t="s">
        <v>68</v>
      </c>
      <c r="C15" t="s">
        <v>24</v>
      </c>
      <c r="D15" t="s">
        <v>35</v>
      </c>
      <c r="E15" t="s">
        <v>424</v>
      </c>
      <c r="F15" t="s">
        <v>303</v>
      </c>
      <c r="G15" t="s">
        <v>425</v>
      </c>
      <c r="H15" t="s">
        <v>426</v>
      </c>
      <c r="I15" t="s">
        <v>52</v>
      </c>
      <c r="J15" t="s">
        <v>427</v>
      </c>
      <c r="K15" t="s">
        <v>52</v>
      </c>
    </row>
    <row r="16" spans="1:11" x14ac:dyDescent="0.3">
      <c r="A16" t="s">
        <v>428</v>
      </c>
      <c r="B16" t="s">
        <v>429</v>
      </c>
      <c r="C16" t="s">
        <v>24</v>
      </c>
      <c r="D16" t="s">
        <v>35</v>
      </c>
      <c r="E16" t="s">
        <v>430</v>
      </c>
      <c r="F16" t="s">
        <v>431</v>
      </c>
      <c r="G16" t="s">
        <v>432</v>
      </c>
      <c r="H16" t="s">
        <v>433</v>
      </c>
      <c r="I16" t="s">
        <v>52</v>
      </c>
      <c r="J16" t="s">
        <v>434</v>
      </c>
      <c r="K16" t="s">
        <v>52</v>
      </c>
    </row>
    <row r="17" spans="1:11" x14ac:dyDescent="0.3">
      <c r="A17" t="s">
        <v>435</v>
      </c>
      <c r="B17" t="s">
        <v>68</v>
      </c>
      <c r="C17" t="s">
        <v>24</v>
      </c>
      <c r="D17" t="s">
        <v>49</v>
      </c>
      <c r="E17" t="s">
        <v>436</v>
      </c>
      <c r="F17" t="s">
        <v>27</v>
      </c>
      <c r="G17" t="s">
        <v>237</v>
      </c>
      <c r="H17" t="s">
        <v>238</v>
      </c>
      <c r="I17" t="s">
        <v>52</v>
      </c>
      <c r="J17" t="s">
        <v>437</v>
      </c>
      <c r="K17" t="s">
        <v>52</v>
      </c>
    </row>
    <row r="18" spans="1:11" x14ac:dyDescent="0.3">
      <c r="A18" t="s">
        <v>438</v>
      </c>
      <c r="B18" t="s">
        <v>68</v>
      </c>
      <c r="C18" t="s">
        <v>24</v>
      </c>
      <c r="D18" t="s">
        <v>62</v>
      </c>
      <c r="E18" t="s">
        <v>134</v>
      </c>
      <c r="F18" t="s">
        <v>27</v>
      </c>
      <c r="G18" t="s">
        <v>135</v>
      </c>
      <c r="H18" t="s">
        <v>136</v>
      </c>
      <c r="I18" t="s">
        <v>52</v>
      </c>
      <c r="J18" t="s">
        <v>439</v>
      </c>
      <c r="K18" t="s">
        <v>52</v>
      </c>
    </row>
    <row r="19" spans="1:11" x14ac:dyDescent="0.3">
      <c r="A19" t="s">
        <v>440</v>
      </c>
      <c r="B19" t="s">
        <v>441</v>
      </c>
      <c r="C19" t="s">
        <v>85</v>
      </c>
      <c r="D19" t="s">
        <v>52</v>
      </c>
      <c r="E19" t="s">
        <v>442</v>
      </c>
      <c r="F19" t="s">
        <v>27</v>
      </c>
      <c r="G19" t="s">
        <v>443</v>
      </c>
      <c r="H19" t="s">
        <v>52</v>
      </c>
      <c r="I19" t="s">
        <v>52</v>
      </c>
      <c r="J19" t="s">
        <v>444</v>
      </c>
      <c r="K19" t="s">
        <v>52</v>
      </c>
    </row>
    <row r="20" spans="1:11" x14ac:dyDescent="0.3">
      <c r="A20" t="s">
        <v>445</v>
      </c>
      <c r="B20" t="s">
        <v>68</v>
      </c>
      <c r="C20" t="s">
        <v>24</v>
      </c>
      <c r="D20" t="s">
        <v>35</v>
      </c>
      <c r="E20" t="s">
        <v>361</v>
      </c>
      <c r="F20" t="s">
        <v>257</v>
      </c>
      <c r="G20" t="s">
        <v>258</v>
      </c>
      <c r="H20" t="s">
        <v>362</v>
      </c>
      <c r="I20" t="s">
        <v>52</v>
      </c>
      <c r="J20" t="s">
        <v>446</v>
      </c>
      <c r="K20" t="s">
        <v>52</v>
      </c>
    </row>
    <row r="21" spans="1:11" x14ac:dyDescent="0.3">
      <c r="A21" t="s">
        <v>447</v>
      </c>
      <c r="B21" t="s">
        <v>448</v>
      </c>
      <c r="C21" t="s">
        <v>85</v>
      </c>
      <c r="D21" t="s">
        <v>35</v>
      </c>
      <c r="E21" t="s">
        <v>449</v>
      </c>
      <c r="F21" t="s">
        <v>450</v>
      </c>
      <c r="G21" t="s">
        <v>451</v>
      </c>
      <c r="H21" t="s">
        <v>52</v>
      </c>
      <c r="I21" t="s">
        <v>52</v>
      </c>
      <c r="J21" t="s">
        <v>452</v>
      </c>
      <c r="K21" t="s">
        <v>52</v>
      </c>
    </row>
    <row r="22" spans="1:11" x14ac:dyDescent="0.3">
      <c r="A22" t="s">
        <v>453</v>
      </c>
      <c r="B22" t="s">
        <v>68</v>
      </c>
      <c r="C22" t="s">
        <v>24</v>
      </c>
      <c r="D22" t="s">
        <v>62</v>
      </c>
      <c r="E22" t="s">
        <v>454</v>
      </c>
      <c r="F22" t="s">
        <v>27</v>
      </c>
      <c r="G22" t="s">
        <v>455</v>
      </c>
      <c r="H22" t="s">
        <v>136</v>
      </c>
      <c r="I22" t="s">
        <v>52</v>
      </c>
      <c r="J22" t="s">
        <v>456</v>
      </c>
      <c r="K22" t="s">
        <v>52</v>
      </c>
    </row>
    <row r="23" spans="1:11" x14ac:dyDescent="0.3">
      <c r="A23" t="s">
        <v>457</v>
      </c>
      <c r="B23" t="s">
        <v>68</v>
      </c>
      <c r="C23" t="s">
        <v>24</v>
      </c>
      <c r="D23" t="s">
        <v>35</v>
      </c>
      <c r="E23" t="s">
        <v>458</v>
      </c>
      <c r="F23" t="s">
        <v>303</v>
      </c>
      <c r="G23" t="s">
        <v>174</v>
      </c>
      <c r="H23" t="s">
        <v>459</v>
      </c>
      <c r="I23" t="s">
        <v>52</v>
      </c>
      <c r="J23" t="s">
        <v>460</v>
      </c>
      <c r="K23" t="s">
        <v>52</v>
      </c>
    </row>
    <row r="24" spans="1:11" x14ac:dyDescent="0.3">
      <c r="A24" t="s">
        <v>461</v>
      </c>
      <c r="B24" t="s">
        <v>462</v>
      </c>
      <c r="C24" t="s">
        <v>85</v>
      </c>
      <c r="D24" t="s">
        <v>35</v>
      </c>
      <c r="E24" t="s">
        <v>463</v>
      </c>
      <c r="F24" t="s">
        <v>464</v>
      </c>
      <c r="G24" t="s">
        <v>465</v>
      </c>
      <c r="H24" t="s">
        <v>52</v>
      </c>
      <c r="I24" t="s">
        <v>52</v>
      </c>
      <c r="J24" t="s">
        <v>466</v>
      </c>
      <c r="K24" t="s">
        <v>52</v>
      </c>
    </row>
    <row r="25" spans="1:11" x14ac:dyDescent="0.3">
      <c r="A25" t="s">
        <v>467</v>
      </c>
      <c r="B25" t="s">
        <v>68</v>
      </c>
      <c r="C25" t="s">
        <v>24</v>
      </c>
      <c r="D25" t="s">
        <v>35</v>
      </c>
      <c r="E25" t="s">
        <v>468</v>
      </c>
      <c r="F25" t="s">
        <v>303</v>
      </c>
      <c r="G25" t="s">
        <v>425</v>
      </c>
      <c r="H25" t="s">
        <v>305</v>
      </c>
      <c r="I25" t="s">
        <v>52</v>
      </c>
      <c r="J25" t="s">
        <v>469</v>
      </c>
      <c r="K25" t="s">
        <v>52</v>
      </c>
    </row>
    <row r="26" spans="1:11" x14ac:dyDescent="0.3">
      <c r="A26" t="s">
        <v>470</v>
      </c>
      <c r="B26" t="s">
        <v>68</v>
      </c>
      <c r="C26" t="s">
        <v>24</v>
      </c>
      <c r="D26" t="s">
        <v>35</v>
      </c>
      <c r="E26" t="s">
        <v>279</v>
      </c>
      <c r="F26" t="s">
        <v>185</v>
      </c>
      <c r="G26" t="s">
        <v>471</v>
      </c>
      <c r="H26" t="s">
        <v>281</v>
      </c>
      <c r="I26" t="s">
        <v>52</v>
      </c>
      <c r="J26" t="s">
        <v>472</v>
      </c>
      <c r="K26" t="s">
        <v>52</v>
      </c>
    </row>
    <row r="27" spans="1:11" x14ac:dyDescent="0.3">
      <c r="A27" t="s">
        <v>473</v>
      </c>
      <c r="B27" t="s">
        <v>474</v>
      </c>
      <c r="C27" t="s">
        <v>85</v>
      </c>
      <c r="D27" t="s">
        <v>52</v>
      </c>
      <c r="E27" t="s">
        <v>475</v>
      </c>
      <c r="F27" t="s">
        <v>27</v>
      </c>
      <c r="G27" t="s">
        <v>476</v>
      </c>
      <c r="H27" t="s">
        <v>52</v>
      </c>
      <c r="I27" t="s">
        <v>52</v>
      </c>
      <c r="J27" t="s">
        <v>477</v>
      </c>
      <c r="K27" t="s">
        <v>52</v>
      </c>
    </row>
    <row r="28" spans="1:11" x14ac:dyDescent="0.3">
      <c r="A28" t="s">
        <v>478</v>
      </c>
      <c r="B28" t="s">
        <v>68</v>
      </c>
      <c r="C28" t="s">
        <v>24</v>
      </c>
      <c r="D28" t="s">
        <v>49</v>
      </c>
      <c r="E28" t="s">
        <v>479</v>
      </c>
      <c r="F28" t="s">
        <v>27</v>
      </c>
      <c r="G28" t="s">
        <v>191</v>
      </c>
      <c r="H28" t="s">
        <v>480</v>
      </c>
      <c r="I28" t="s">
        <v>52</v>
      </c>
      <c r="J28" t="s">
        <v>481</v>
      </c>
      <c r="K28" t="s">
        <v>52</v>
      </c>
    </row>
    <row r="29" spans="1:11" x14ac:dyDescent="0.3">
      <c r="A29" t="s">
        <v>482</v>
      </c>
      <c r="B29" t="s">
        <v>483</v>
      </c>
      <c r="C29" t="s">
        <v>85</v>
      </c>
      <c r="D29" t="s">
        <v>52</v>
      </c>
      <c r="E29" t="s">
        <v>484</v>
      </c>
      <c r="F29" t="s">
        <v>485</v>
      </c>
      <c r="G29" t="s">
        <v>486</v>
      </c>
      <c r="H29" t="s">
        <v>52</v>
      </c>
      <c r="I29" t="s">
        <v>52</v>
      </c>
      <c r="J29" t="s">
        <v>487</v>
      </c>
      <c r="K29" t="s">
        <v>52</v>
      </c>
    </row>
    <row r="30" spans="1:11" x14ac:dyDescent="0.3">
      <c r="A30" t="s">
        <v>488</v>
      </c>
      <c r="B30" t="s">
        <v>489</v>
      </c>
      <c r="C30" t="s">
        <v>85</v>
      </c>
      <c r="D30" t="s">
        <v>52</v>
      </c>
      <c r="E30" t="s">
        <v>490</v>
      </c>
      <c r="F30" t="s">
        <v>27</v>
      </c>
      <c r="G30" t="s">
        <v>491</v>
      </c>
      <c r="H30" t="s">
        <v>52</v>
      </c>
      <c r="I30" t="s">
        <v>52</v>
      </c>
      <c r="J30" t="s">
        <v>492</v>
      </c>
      <c r="K30" t="s">
        <v>52</v>
      </c>
    </row>
    <row r="31" spans="1:11" x14ac:dyDescent="0.3">
      <c r="A31" t="s">
        <v>493</v>
      </c>
      <c r="B31" t="s">
        <v>68</v>
      </c>
      <c r="C31" t="s">
        <v>24</v>
      </c>
      <c r="D31" t="s">
        <v>62</v>
      </c>
      <c r="E31" t="s">
        <v>134</v>
      </c>
      <c r="F31" t="s">
        <v>27</v>
      </c>
      <c r="G31" t="s">
        <v>248</v>
      </c>
      <c r="H31" t="s">
        <v>136</v>
      </c>
      <c r="I31" t="s">
        <v>52</v>
      </c>
      <c r="J31" t="s">
        <v>494</v>
      </c>
      <c r="K31" t="s">
        <v>52</v>
      </c>
    </row>
    <row r="32" spans="1:11" x14ac:dyDescent="0.3">
      <c r="A32" t="s">
        <v>495</v>
      </c>
      <c r="B32" t="s">
        <v>68</v>
      </c>
      <c r="C32" t="s">
        <v>24</v>
      </c>
      <c r="D32" t="s">
        <v>49</v>
      </c>
      <c r="E32" t="s">
        <v>496</v>
      </c>
      <c r="F32" t="s">
        <v>27</v>
      </c>
      <c r="G32" t="s">
        <v>497</v>
      </c>
      <c r="H32" t="s">
        <v>498</v>
      </c>
      <c r="I32" t="s">
        <v>52</v>
      </c>
      <c r="J32" t="s">
        <v>499</v>
      </c>
      <c r="K32" t="s">
        <v>52</v>
      </c>
    </row>
    <row r="33" spans="1:11" x14ac:dyDescent="0.3">
      <c r="A33" t="s">
        <v>500</v>
      </c>
      <c r="B33" t="s">
        <v>501</v>
      </c>
      <c r="C33" t="s">
        <v>24</v>
      </c>
      <c r="D33" t="s">
        <v>49</v>
      </c>
      <c r="E33" t="s">
        <v>502</v>
      </c>
      <c r="F33" t="s">
        <v>27</v>
      </c>
      <c r="G33" t="s">
        <v>503</v>
      </c>
      <c r="H33" t="s">
        <v>504</v>
      </c>
      <c r="I33" t="s">
        <v>52</v>
      </c>
      <c r="J33" t="s">
        <v>505</v>
      </c>
      <c r="K33" t="s">
        <v>52</v>
      </c>
    </row>
    <row r="34" spans="1:11" x14ac:dyDescent="0.3">
      <c r="A34" t="s">
        <v>506</v>
      </c>
      <c r="B34" t="s">
        <v>68</v>
      </c>
      <c r="C34" t="s">
        <v>24</v>
      </c>
      <c r="D34" t="s">
        <v>25</v>
      </c>
      <c r="E34" t="s">
        <v>507</v>
      </c>
      <c r="F34" t="s">
        <v>27</v>
      </c>
      <c r="G34" t="s">
        <v>508</v>
      </c>
      <c r="H34" t="s">
        <v>288</v>
      </c>
      <c r="I34" t="s">
        <v>52</v>
      </c>
      <c r="J34" t="s">
        <v>509</v>
      </c>
      <c r="K34" t="s">
        <v>52</v>
      </c>
    </row>
    <row r="35" spans="1:11" x14ac:dyDescent="0.3">
      <c r="A35" t="s">
        <v>510</v>
      </c>
      <c r="B35" t="s">
        <v>68</v>
      </c>
      <c r="C35" t="s">
        <v>24</v>
      </c>
      <c r="D35" t="s">
        <v>35</v>
      </c>
      <c r="E35" t="s">
        <v>511</v>
      </c>
      <c r="F35" t="s">
        <v>512</v>
      </c>
      <c r="G35" t="s">
        <v>513</v>
      </c>
      <c r="H35" t="s">
        <v>514</v>
      </c>
      <c r="I35" t="s">
        <v>52</v>
      </c>
      <c r="J35" t="s">
        <v>515</v>
      </c>
      <c r="K35" t="s">
        <v>52</v>
      </c>
    </row>
    <row r="36" spans="1:11" x14ac:dyDescent="0.3">
      <c r="A36" t="s">
        <v>516</v>
      </c>
      <c r="B36" t="s">
        <v>68</v>
      </c>
      <c r="C36" t="s">
        <v>24</v>
      </c>
      <c r="D36" t="s">
        <v>35</v>
      </c>
      <c r="E36" t="s">
        <v>241</v>
      </c>
      <c r="F36" t="s">
        <v>27</v>
      </c>
      <c r="G36" t="s">
        <v>332</v>
      </c>
      <c r="H36" t="s">
        <v>243</v>
      </c>
      <c r="I36" t="s">
        <v>52</v>
      </c>
      <c r="J36" t="s">
        <v>517</v>
      </c>
      <c r="K36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8374-D4D4-49A0-A530-B6EB84A07F44}">
  <dimension ref="A1:K28"/>
  <sheetViews>
    <sheetView topLeftCell="A10" workbookViewId="0">
      <selection activeCell="A3" sqref="A3:K28"/>
    </sheetView>
  </sheetViews>
  <sheetFormatPr baseColWidth="10" defaultRowHeight="14.4" x14ac:dyDescent="0.3"/>
  <cols>
    <col min="1" max="1" width="28.88671875" bestFit="1" customWidth="1"/>
    <col min="2" max="2" width="45.77734375" bestFit="1" customWidth="1"/>
    <col min="3" max="3" width="13.88671875" bestFit="1" customWidth="1"/>
    <col min="4" max="4" width="19" bestFit="1" customWidth="1"/>
    <col min="5" max="5" width="41" bestFit="1" customWidth="1"/>
    <col min="6" max="6" width="19.6640625" bestFit="1" customWidth="1"/>
    <col min="7" max="7" width="37.6640625" bestFit="1" customWidth="1"/>
    <col min="8" max="8" width="48.6640625" bestFit="1" customWidth="1"/>
    <col min="9" max="9" width="19.21875" bestFit="1" customWidth="1"/>
    <col min="10" max="10" width="68.7773437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255</v>
      </c>
      <c r="B3" t="s">
        <v>68</v>
      </c>
      <c r="C3" t="s">
        <v>24</v>
      </c>
      <c r="D3" t="s">
        <v>35</v>
      </c>
      <c r="E3" t="s">
        <v>256</v>
      </c>
      <c r="F3" t="s">
        <v>257</v>
      </c>
      <c r="G3" t="s">
        <v>258</v>
      </c>
      <c r="H3" t="s">
        <v>259</v>
      </c>
      <c r="I3" t="s">
        <v>260</v>
      </c>
      <c r="J3" t="s">
        <v>261</v>
      </c>
      <c r="K3" t="s">
        <v>52</v>
      </c>
    </row>
    <row r="4" spans="1:11" x14ac:dyDescent="0.3">
      <c r="A4" t="s">
        <v>262</v>
      </c>
      <c r="B4" t="s">
        <v>68</v>
      </c>
      <c r="C4" t="s">
        <v>24</v>
      </c>
      <c r="D4" t="s">
        <v>49</v>
      </c>
      <c r="E4" t="s">
        <v>263</v>
      </c>
      <c r="F4" t="s">
        <v>27</v>
      </c>
      <c r="G4" t="s">
        <v>264</v>
      </c>
      <c r="H4" t="s">
        <v>265</v>
      </c>
      <c r="I4" t="s">
        <v>52</v>
      </c>
      <c r="J4" t="s">
        <v>266</v>
      </c>
      <c r="K4" t="s">
        <v>52</v>
      </c>
    </row>
    <row r="5" spans="1:11" x14ac:dyDescent="0.3">
      <c r="A5" t="s">
        <v>267</v>
      </c>
      <c r="B5" t="s">
        <v>90</v>
      </c>
      <c r="C5" t="s">
        <v>91</v>
      </c>
      <c r="D5" t="s">
        <v>35</v>
      </c>
      <c r="E5" t="s">
        <v>268</v>
      </c>
      <c r="F5" t="s">
        <v>27</v>
      </c>
      <c r="G5" t="s">
        <v>140</v>
      </c>
      <c r="H5" t="s">
        <v>269</v>
      </c>
      <c r="I5" t="s">
        <v>52</v>
      </c>
      <c r="J5" t="s">
        <v>270</v>
      </c>
      <c r="K5" t="s">
        <v>52</v>
      </c>
    </row>
    <row r="6" spans="1:11" x14ac:dyDescent="0.3">
      <c r="A6" t="s">
        <v>271</v>
      </c>
      <c r="B6" t="s">
        <v>272</v>
      </c>
      <c r="C6" t="s">
        <v>24</v>
      </c>
      <c r="D6" t="s">
        <v>49</v>
      </c>
      <c r="E6" t="s">
        <v>273</v>
      </c>
      <c r="F6" t="s">
        <v>274</v>
      </c>
      <c r="G6" t="s">
        <v>275</v>
      </c>
      <c r="H6" t="s">
        <v>276</v>
      </c>
      <c r="I6" t="s">
        <v>52</v>
      </c>
      <c r="J6" t="s">
        <v>277</v>
      </c>
      <c r="K6" t="s">
        <v>52</v>
      </c>
    </row>
    <row r="7" spans="1:11" x14ac:dyDescent="0.3">
      <c r="A7" t="s">
        <v>278</v>
      </c>
      <c r="B7" t="s">
        <v>90</v>
      </c>
      <c r="C7" t="s">
        <v>91</v>
      </c>
      <c r="D7" t="s">
        <v>35</v>
      </c>
      <c r="E7" t="s">
        <v>279</v>
      </c>
      <c r="F7" t="s">
        <v>185</v>
      </c>
      <c r="G7" t="s">
        <v>280</v>
      </c>
      <c r="H7" t="s">
        <v>281</v>
      </c>
      <c r="I7" t="s">
        <v>52</v>
      </c>
      <c r="J7" t="s">
        <v>282</v>
      </c>
      <c r="K7" t="s">
        <v>52</v>
      </c>
    </row>
    <row r="8" spans="1:11" x14ac:dyDescent="0.3">
      <c r="A8" t="s">
        <v>283</v>
      </c>
      <c r="B8" t="s">
        <v>68</v>
      </c>
      <c r="C8" t="s">
        <v>24</v>
      </c>
      <c r="D8" t="s">
        <v>49</v>
      </c>
      <c r="E8" t="s">
        <v>107</v>
      </c>
      <c r="F8" t="s">
        <v>27</v>
      </c>
      <c r="G8" t="s">
        <v>237</v>
      </c>
      <c r="H8" t="s">
        <v>238</v>
      </c>
      <c r="I8" t="s">
        <v>52</v>
      </c>
      <c r="J8" t="s">
        <v>284</v>
      </c>
      <c r="K8" t="s">
        <v>52</v>
      </c>
    </row>
    <row r="9" spans="1:11" x14ac:dyDescent="0.3">
      <c r="A9" t="s">
        <v>285</v>
      </c>
      <c r="B9" t="s">
        <v>68</v>
      </c>
      <c r="C9" t="s">
        <v>24</v>
      </c>
      <c r="D9" t="s">
        <v>25</v>
      </c>
      <c r="E9" t="s">
        <v>286</v>
      </c>
      <c r="F9" t="s">
        <v>27</v>
      </c>
      <c r="G9" t="s">
        <v>287</v>
      </c>
      <c r="H9" t="s">
        <v>288</v>
      </c>
      <c r="I9" t="s">
        <v>52</v>
      </c>
      <c r="J9" t="s">
        <v>289</v>
      </c>
      <c r="K9" t="s">
        <v>52</v>
      </c>
    </row>
    <row r="10" spans="1:11" x14ac:dyDescent="0.3">
      <c r="A10" t="s">
        <v>290</v>
      </c>
      <c r="B10" t="s">
        <v>68</v>
      </c>
      <c r="C10" t="s">
        <v>24</v>
      </c>
      <c r="D10" t="s">
        <v>62</v>
      </c>
      <c r="E10" t="s">
        <v>210</v>
      </c>
      <c r="F10" t="s">
        <v>27</v>
      </c>
      <c r="G10" t="s">
        <v>291</v>
      </c>
      <c r="H10" t="s">
        <v>136</v>
      </c>
      <c r="I10" t="s">
        <v>52</v>
      </c>
      <c r="J10" t="s">
        <v>292</v>
      </c>
      <c r="K10" t="s">
        <v>52</v>
      </c>
    </row>
    <row r="11" spans="1:11" x14ac:dyDescent="0.3">
      <c r="A11" t="s">
        <v>293</v>
      </c>
      <c r="B11" t="s">
        <v>90</v>
      </c>
      <c r="C11" t="s">
        <v>91</v>
      </c>
      <c r="D11" t="s">
        <v>35</v>
      </c>
      <c r="E11" t="s">
        <v>294</v>
      </c>
      <c r="F11" t="s">
        <v>27</v>
      </c>
      <c r="G11" t="s">
        <v>295</v>
      </c>
      <c r="H11" t="s">
        <v>296</v>
      </c>
      <c r="I11" t="s">
        <v>52</v>
      </c>
      <c r="J11" t="s">
        <v>297</v>
      </c>
      <c r="K11" t="s">
        <v>52</v>
      </c>
    </row>
    <row r="12" spans="1:11" x14ac:dyDescent="0.3">
      <c r="A12" t="s">
        <v>298</v>
      </c>
      <c r="B12" t="s">
        <v>68</v>
      </c>
      <c r="C12" t="s">
        <v>24</v>
      </c>
      <c r="D12" t="s">
        <v>35</v>
      </c>
      <c r="E12" t="s">
        <v>122</v>
      </c>
      <c r="F12" t="s">
        <v>27</v>
      </c>
      <c r="G12" t="s">
        <v>123</v>
      </c>
      <c r="H12" t="s">
        <v>124</v>
      </c>
      <c r="I12" t="s">
        <v>52</v>
      </c>
      <c r="J12" t="s">
        <v>299</v>
      </c>
      <c r="K12" t="s">
        <v>52</v>
      </c>
    </row>
    <row r="13" spans="1:11" x14ac:dyDescent="0.3">
      <c r="A13" t="s">
        <v>300</v>
      </c>
      <c r="B13" t="s">
        <v>301</v>
      </c>
      <c r="C13" t="s">
        <v>48</v>
      </c>
      <c r="D13" t="s">
        <v>35</v>
      </c>
      <c r="E13" t="s">
        <v>302</v>
      </c>
      <c r="F13" t="s">
        <v>303</v>
      </c>
      <c r="G13" t="s">
        <v>304</v>
      </c>
      <c r="H13" t="s">
        <v>305</v>
      </c>
      <c r="I13" t="s">
        <v>52</v>
      </c>
      <c r="J13" t="s">
        <v>306</v>
      </c>
      <c r="K13" t="s">
        <v>52</v>
      </c>
    </row>
    <row r="14" spans="1:11" x14ac:dyDescent="0.3">
      <c r="A14" t="s">
        <v>307</v>
      </c>
      <c r="B14" t="s">
        <v>68</v>
      </c>
      <c r="C14" t="s">
        <v>24</v>
      </c>
      <c r="D14" t="s">
        <v>62</v>
      </c>
      <c r="E14" t="s">
        <v>308</v>
      </c>
      <c r="F14" t="s">
        <v>27</v>
      </c>
      <c r="G14" t="s">
        <v>309</v>
      </c>
      <c r="H14" t="s">
        <v>310</v>
      </c>
      <c r="I14" t="s">
        <v>52</v>
      </c>
      <c r="J14" t="s">
        <v>311</v>
      </c>
      <c r="K14" t="s">
        <v>52</v>
      </c>
    </row>
    <row r="15" spans="1:11" x14ac:dyDescent="0.3">
      <c r="A15" t="s">
        <v>312</v>
      </c>
      <c r="B15" t="s">
        <v>68</v>
      </c>
      <c r="C15" t="s">
        <v>24</v>
      </c>
      <c r="D15" t="s">
        <v>35</v>
      </c>
      <c r="E15" t="s">
        <v>313</v>
      </c>
      <c r="F15" t="s">
        <v>314</v>
      </c>
      <c r="G15" t="s">
        <v>315</v>
      </c>
      <c r="H15" t="s">
        <v>316</v>
      </c>
      <c r="I15" t="s">
        <v>52</v>
      </c>
      <c r="J15" t="s">
        <v>317</v>
      </c>
      <c r="K15" t="s">
        <v>52</v>
      </c>
    </row>
    <row r="16" spans="1:11" x14ac:dyDescent="0.3">
      <c r="A16" t="s">
        <v>318</v>
      </c>
      <c r="B16" t="s">
        <v>319</v>
      </c>
      <c r="C16" t="s">
        <v>24</v>
      </c>
      <c r="D16" t="s">
        <v>49</v>
      </c>
      <c r="E16" t="s">
        <v>320</v>
      </c>
      <c r="F16" t="s">
        <v>27</v>
      </c>
      <c r="G16" t="s">
        <v>321</v>
      </c>
      <c r="H16" t="s">
        <v>322</v>
      </c>
      <c r="I16" t="s">
        <v>52</v>
      </c>
      <c r="J16" t="s">
        <v>323</v>
      </c>
      <c r="K16" t="s">
        <v>52</v>
      </c>
    </row>
    <row r="17" spans="1:11" x14ac:dyDescent="0.3">
      <c r="A17" t="s">
        <v>324</v>
      </c>
      <c r="B17" t="s">
        <v>325</v>
      </c>
      <c r="C17" t="s">
        <v>85</v>
      </c>
      <c r="D17" t="s">
        <v>52</v>
      </c>
      <c r="E17" t="s">
        <v>326</v>
      </c>
      <c r="F17" t="s">
        <v>27</v>
      </c>
      <c r="G17" t="s">
        <v>327</v>
      </c>
      <c r="H17" t="s">
        <v>52</v>
      </c>
      <c r="I17" t="s">
        <v>52</v>
      </c>
      <c r="J17" t="s">
        <v>328</v>
      </c>
      <c r="K17" t="s">
        <v>52</v>
      </c>
    </row>
    <row r="18" spans="1:11" x14ac:dyDescent="0.3">
      <c r="A18" t="s">
        <v>329</v>
      </c>
      <c r="B18" t="s">
        <v>68</v>
      </c>
      <c r="C18" t="s">
        <v>24</v>
      </c>
      <c r="D18" t="s">
        <v>35</v>
      </c>
      <c r="E18" t="s">
        <v>139</v>
      </c>
      <c r="F18" t="s">
        <v>27</v>
      </c>
      <c r="G18" t="s">
        <v>140</v>
      </c>
      <c r="H18" t="s">
        <v>141</v>
      </c>
      <c r="I18" t="s">
        <v>52</v>
      </c>
      <c r="J18" t="s">
        <v>330</v>
      </c>
      <c r="K18" t="s">
        <v>52</v>
      </c>
    </row>
    <row r="19" spans="1:11" x14ac:dyDescent="0.3">
      <c r="A19" t="s">
        <v>331</v>
      </c>
      <c r="B19" t="s">
        <v>68</v>
      </c>
      <c r="C19" t="s">
        <v>24</v>
      </c>
      <c r="D19" t="s">
        <v>35</v>
      </c>
      <c r="E19" t="s">
        <v>241</v>
      </c>
      <c r="F19" t="s">
        <v>27</v>
      </c>
      <c r="G19" t="s">
        <v>332</v>
      </c>
      <c r="H19" t="s">
        <v>243</v>
      </c>
      <c r="I19" t="s">
        <v>52</v>
      </c>
      <c r="J19" t="s">
        <v>333</v>
      </c>
      <c r="K19" t="s">
        <v>52</v>
      </c>
    </row>
    <row r="20" spans="1:11" x14ac:dyDescent="0.3">
      <c r="A20" t="s">
        <v>334</v>
      </c>
      <c r="B20" t="s">
        <v>335</v>
      </c>
      <c r="C20" t="s">
        <v>24</v>
      </c>
      <c r="D20" t="s">
        <v>35</v>
      </c>
      <c r="E20" t="s">
        <v>241</v>
      </c>
      <c r="F20" t="s">
        <v>27</v>
      </c>
      <c r="G20" t="s">
        <v>332</v>
      </c>
      <c r="H20" t="s">
        <v>243</v>
      </c>
      <c r="I20" t="s">
        <v>52</v>
      </c>
      <c r="J20" t="s">
        <v>336</v>
      </c>
      <c r="K20" t="s">
        <v>52</v>
      </c>
    </row>
    <row r="21" spans="1:11" x14ac:dyDescent="0.3">
      <c r="A21" t="s">
        <v>337</v>
      </c>
      <c r="B21" t="s">
        <v>68</v>
      </c>
      <c r="C21" t="s">
        <v>24</v>
      </c>
      <c r="D21" t="s">
        <v>49</v>
      </c>
      <c r="E21" t="s">
        <v>338</v>
      </c>
      <c r="F21" t="s">
        <v>27</v>
      </c>
      <c r="G21" t="s">
        <v>264</v>
      </c>
      <c r="H21" t="s">
        <v>265</v>
      </c>
      <c r="I21" t="s">
        <v>52</v>
      </c>
      <c r="J21" t="s">
        <v>339</v>
      </c>
      <c r="K21" t="s">
        <v>52</v>
      </c>
    </row>
    <row r="22" spans="1:11" x14ac:dyDescent="0.3">
      <c r="A22" t="s">
        <v>340</v>
      </c>
      <c r="B22" t="s">
        <v>341</v>
      </c>
      <c r="C22" t="s">
        <v>85</v>
      </c>
      <c r="D22" t="s">
        <v>52</v>
      </c>
      <c r="E22" t="s">
        <v>342</v>
      </c>
      <c r="F22" t="s">
        <v>343</v>
      </c>
      <c r="G22" t="s">
        <v>344</v>
      </c>
      <c r="H22" t="s">
        <v>52</v>
      </c>
      <c r="I22" t="s">
        <v>52</v>
      </c>
      <c r="J22" t="s">
        <v>345</v>
      </c>
      <c r="K22" t="s">
        <v>52</v>
      </c>
    </row>
    <row r="23" spans="1:11" x14ac:dyDescent="0.3">
      <c r="A23" t="s">
        <v>346</v>
      </c>
      <c r="B23" t="s">
        <v>68</v>
      </c>
      <c r="C23" t="s">
        <v>24</v>
      </c>
      <c r="D23" t="s">
        <v>35</v>
      </c>
      <c r="E23" t="s">
        <v>347</v>
      </c>
      <c r="F23" t="s">
        <v>348</v>
      </c>
      <c r="G23" t="s">
        <v>349</v>
      </c>
      <c r="H23" t="s">
        <v>350</v>
      </c>
      <c r="I23" t="s">
        <v>52</v>
      </c>
      <c r="J23" t="s">
        <v>351</v>
      </c>
      <c r="K23" t="s">
        <v>52</v>
      </c>
    </row>
    <row r="24" spans="1:11" x14ac:dyDescent="0.3">
      <c r="A24" t="s">
        <v>352</v>
      </c>
      <c r="B24" t="s">
        <v>68</v>
      </c>
      <c r="C24" t="s">
        <v>24</v>
      </c>
      <c r="D24" t="s">
        <v>49</v>
      </c>
      <c r="E24" t="s">
        <v>184</v>
      </c>
      <c r="F24" t="s">
        <v>185</v>
      </c>
      <c r="G24" t="s">
        <v>186</v>
      </c>
      <c r="H24" t="s">
        <v>353</v>
      </c>
      <c r="I24" t="s">
        <v>52</v>
      </c>
      <c r="J24" t="s">
        <v>354</v>
      </c>
      <c r="K24" t="s">
        <v>52</v>
      </c>
    </row>
    <row r="25" spans="1:11" x14ac:dyDescent="0.3">
      <c r="A25" t="s">
        <v>355</v>
      </c>
      <c r="B25" t="s">
        <v>68</v>
      </c>
      <c r="C25" t="s">
        <v>24</v>
      </c>
      <c r="D25" t="s">
        <v>25</v>
      </c>
      <c r="E25" t="s">
        <v>356</v>
      </c>
      <c r="F25" t="s">
        <v>27</v>
      </c>
      <c r="G25" t="s">
        <v>357</v>
      </c>
      <c r="H25" t="s">
        <v>358</v>
      </c>
      <c r="I25" t="s">
        <v>52</v>
      </c>
      <c r="J25" t="s">
        <v>359</v>
      </c>
      <c r="K25" t="s">
        <v>52</v>
      </c>
    </row>
    <row r="26" spans="1:11" x14ac:dyDescent="0.3">
      <c r="A26" t="s">
        <v>360</v>
      </c>
      <c r="B26" t="s">
        <v>68</v>
      </c>
      <c r="C26" t="s">
        <v>24</v>
      </c>
      <c r="D26" t="s">
        <v>35</v>
      </c>
      <c r="E26" t="s">
        <v>361</v>
      </c>
      <c r="F26" t="s">
        <v>257</v>
      </c>
      <c r="G26" t="s">
        <v>258</v>
      </c>
      <c r="H26" t="s">
        <v>362</v>
      </c>
      <c r="I26" t="s">
        <v>52</v>
      </c>
      <c r="J26" t="s">
        <v>363</v>
      </c>
      <c r="K26" t="s">
        <v>52</v>
      </c>
    </row>
    <row r="27" spans="1:11" x14ac:dyDescent="0.3">
      <c r="A27" t="s">
        <v>364</v>
      </c>
      <c r="B27" t="s">
        <v>68</v>
      </c>
      <c r="C27" t="s">
        <v>24</v>
      </c>
      <c r="D27" t="s">
        <v>62</v>
      </c>
      <c r="E27" t="s">
        <v>365</v>
      </c>
      <c r="F27" t="s">
        <v>27</v>
      </c>
      <c r="G27" t="s">
        <v>366</v>
      </c>
      <c r="H27" t="s">
        <v>367</v>
      </c>
      <c r="I27" t="s">
        <v>52</v>
      </c>
      <c r="J27" t="s">
        <v>52</v>
      </c>
      <c r="K27" t="s">
        <v>52</v>
      </c>
    </row>
    <row r="28" spans="1:11" x14ac:dyDescent="0.3">
      <c r="A28" t="s">
        <v>368</v>
      </c>
      <c r="B28" t="s">
        <v>369</v>
      </c>
      <c r="C28" t="s">
        <v>24</v>
      </c>
      <c r="D28" t="s">
        <v>49</v>
      </c>
      <c r="E28" t="s">
        <v>273</v>
      </c>
      <c r="F28" t="s">
        <v>274</v>
      </c>
      <c r="G28" t="s">
        <v>370</v>
      </c>
      <c r="H28" t="s">
        <v>276</v>
      </c>
      <c r="I28" t="s">
        <v>52</v>
      </c>
      <c r="J28" t="s">
        <v>371</v>
      </c>
      <c r="K28" t="s">
        <v>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6234-C96E-4E3A-B878-FFE619837094}">
  <dimension ref="A1:K12"/>
  <sheetViews>
    <sheetView workbookViewId="0">
      <selection activeCell="A3" sqref="A3:K12"/>
    </sheetView>
  </sheetViews>
  <sheetFormatPr baseColWidth="10" defaultRowHeight="14.4" x14ac:dyDescent="0.3"/>
  <cols>
    <col min="1" max="1" width="25.88671875" bestFit="1" customWidth="1"/>
    <col min="2" max="2" width="49.44140625" bestFit="1" customWidth="1"/>
    <col min="3" max="3" width="13.88671875" bestFit="1" customWidth="1"/>
    <col min="4" max="4" width="19" bestFit="1" customWidth="1"/>
    <col min="5" max="5" width="33" bestFit="1" customWidth="1"/>
    <col min="6" max="6" width="14.21875" bestFit="1" customWidth="1"/>
    <col min="7" max="7" width="46.44140625" bestFit="1" customWidth="1"/>
    <col min="8" max="8" width="35.109375" bestFit="1" customWidth="1"/>
    <col min="9" max="9" width="19.21875" bestFit="1" customWidth="1"/>
    <col min="10" max="10" width="68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209</v>
      </c>
      <c r="B3" t="s">
        <v>68</v>
      </c>
      <c r="C3" t="s">
        <v>24</v>
      </c>
      <c r="D3" t="s">
        <v>62</v>
      </c>
      <c r="E3" t="s">
        <v>210</v>
      </c>
      <c r="F3" t="s">
        <v>27</v>
      </c>
      <c r="G3" t="s">
        <v>211</v>
      </c>
      <c r="H3" t="s">
        <v>212</v>
      </c>
      <c r="I3" t="s">
        <v>52</v>
      </c>
      <c r="J3" t="s">
        <v>213</v>
      </c>
      <c r="K3" t="s">
        <v>52</v>
      </c>
    </row>
    <row r="4" spans="1:11" x14ac:dyDescent="0.3">
      <c r="A4" t="s">
        <v>214</v>
      </c>
      <c r="B4" t="s">
        <v>68</v>
      </c>
      <c r="C4" t="s">
        <v>24</v>
      </c>
      <c r="D4" t="s">
        <v>35</v>
      </c>
      <c r="E4" t="s">
        <v>122</v>
      </c>
      <c r="F4" t="s">
        <v>27</v>
      </c>
      <c r="G4" t="s">
        <v>123</v>
      </c>
      <c r="H4" t="s">
        <v>124</v>
      </c>
      <c r="I4" t="s">
        <v>52</v>
      </c>
      <c r="J4" t="s">
        <v>215</v>
      </c>
      <c r="K4" t="s">
        <v>52</v>
      </c>
    </row>
    <row r="5" spans="1:11" x14ac:dyDescent="0.3">
      <c r="A5" t="s">
        <v>216</v>
      </c>
      <c r="B5" t="s">
        <v>90</v>
      </c>
      <c r="C5" t="s">
        <v>91</v>
      </c>
      <c r="D5" t="s">
        <v>35</v>
      </c>
      <c r="E5" t="s">
        <v>217</v>
      </c>
      <c r="F5" t="s">
        <v>27</v>
      </c>
      <c r="G5" t="s">
        <v>218</v>
      </c>
      <c r="H5" t="s">
        <v>219</v>
      </c>
      <c r="I5" t="s">
        <v>52</v>
      </c>
      <c r="J5" t="s">
        <v>220</v>
      </c>
      <c r="K5" t="s">
        <v>52</v>
      </c>
    </row>
    <row r="6" spans="1:11" x14ac:dyDescent="0.3">
      <c r="A6" t="s">
        <v>221</v>
      </c>
      <c r="B6" t="s">
        <v>90</v>
      </c>
      <c r="C6" t="s">
        <v>91</v>
      </c>
      <c r="D6" t="s">
        <v>35</v>
      </c>
      <c r="E6" t="s">
        <v>200</v>
      </c>
      <c r="F6" t="s">
        <v>70</v>
      </c>
      <c r="G6" t="s">
        <v>222</v>
      </c>
      <c r="H6" t="s">
        <v>202</v>
      </c>
      <c r="I6" t="s">
        <v>52</v>
      </c>
      <c r="J6" t="s">
        <v>223</v>
      </c>
      <c r="K6" t="s">
        <v>52</v>
      </c>
    </row>
    <row r="7" spans="1:11" x14ac:dyDescent="0.3">
      <c r="A7" t="s">
        <v>224</v>
      </c>
      <c r="B7" t="s">
        <v>68</v>
      </c>
      <c r="C7" t="s">
        <v>24</v>
      </c>
      <c r="D7" t="s">
        <v>35</v>
      </c>
      <c r="E7" t="s">
        <v>225</v>
      </c>
      <c r="F7" t="s">
        <v>70</v>
      </c>
      <c r="G7" t="s">
        <v>226</v>
      </c>
      <c r="H7" t="s">
        <v>227</v>
      </c>
      <c r="I7" t="s">
        <v>52</v>
      </c>
      <c r="J7" t="s">
        <v>228</v>
      </c>
      <c r="K7" t="s">
        <v>52</v>
      </c>
    </row>
    <row r="8" spans="1:11" x14ac:dyDescent="0.3">
      <c r="A8" t="s">
        <v>229</v>
      </c>
      <c r="B8" t="s">
        <v>90</v>
      </c>
      <c r="C8" t="s">
        <v>91</v>
      </c>
      <c r="D8" t="s">
        <v>35</v>
      </c>
      <c r="E8" t="s">
        <v>230</v>
      </c>
      <c r="F8" t="s">
        <v>27</v>
      </c>
      <c r="G8" t="s">
        <v>231</v>
      </c>
      <c r="H8" t="s">
        <v>232</v>
      </c>
      <c r="I8" t="s">
        <v>52</v>
      </c>
      <c r="J8" t="s">
        <v>233</v>
      </c>
      <c r="K8" t="s">
        <v>52</v>
      </c>
    </row>
    <row r="9" spans="1:11" x14ac:dyDescent="0.3">
      <c r="A9" t="s">
        <v>234</v>
      </c>
      <c r="B9" t="s">
        <v>235</v>
      </c>
      <c r="C9" t="s">
        <v>24</v>
      </c>
      <c r="D9" t="s">
        <v>49</v>
      </c>
      <c r="E9" t="s">
        <v>236</v>
      </c>
      <c r="F9" t="s">
        <v>27</v>
      </c>
      <c r="G9" t="s">
        <v>237</v>
      </c>
      <c r="H9" t="s">
        <v>238</v>
      </c>
      <c r="I9" t="s">
        <v>52</v>
      </c>
      <c r="J9" t="s">
        <v>239</v>
      </c>
      <c r="K9" t="s">
        <v>52</v>
      </c>
    </row>
    <row r="10" spans="1:11" x14ac:dyDescent="0.3">
      <c r="A10" t="s">
        <v>240</v>
      </c>
      <c r="B10" t="s">
        <v>68</v>
      </c>
      <c r="C10" t="s">
        <v>24</v>
      </c>
      <c r="D10" t="s">
        <v>35</v>
      </c>
      <c r="E10" t="s">
        <v>241</v>
      </c>
      <c r="F10" t="s">
        <v>27</v>
      </c>
      <c r="G10" t="s">
        <v>242</v>
      </c>
      <c r="H10" t="s">
        <v>243</v>
      </c>
      <c r="I10" t="s">
        <v>52</v>
      </c>
      <c r="J10" t="s">
        <v>244</v>
      </c>
      <c r="K10" t="s">
        <v>52</v>
      </c>
    </row>
    <row r="11" spans="1:11" x14ac:dyDescent="0.3">
      <c r="A11" t="s">
        <v>245</v>
      </c>
      <c r="B11" t="s">
        <v>246</v>
      </c>
      <c r="C11" t="s">
        <v>24</v>
      </c>
      <c r="D11" t="s">
        <v>62</v>
      </c>
      <c r="E11" t="s">
        <v>247</v>
      </c>
      <c r="F11" t="s">
        <v>27</v>
      </c>
      <c r="G11" t="s">
        <v>248</v>
      </c>
      <c r="H11" t="s">
        <v>136</v>
      </c>
      <c r="I11" t="s">
        <v>52</v>
      </c>
      <c r="J11" t="s">
        <v>249</v>
      </c>
      <c r="K11" t="s">
        <v>52</v>
      </c>
    </row>
    <row r="12" spans="1:11" x14ac:dyDescent="0.3">
      <c r="A12" t="s">
        <v>250</v>
      </c>
      <c r="B12" t="s">
        <v>68</v>
      </c>
      <c r="C12" t="s">
        <v>24</v>
      </c>
      <c r="D12" t="s">
        <v>49</v>
      </c>
      <c r="E12" t="s">
        <v>251</v>
      </c>
      <c r="F12" t="s">
        <v>27</v>
      </c>
      <c r="G12" t="s">
        <v>252</v>
      </c>
      <c r="H12" t="s">
        <v>253</v>
      </c>
      <c r="I12" t="s">
        <v>52</v>
      </c>
      <c r="J12" t="s">
        <v>254</v>
      </c>
      <c r="K12" t="s">
        <v>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1657-AB3B-46B0-813E-213BC19E7261}">
  <dimension ref="A1:K12"/>
  <sheetViews>
    <sheetView topLeftCell="E1" workbookViewId="0">
      <selection activeCell="A3" sqref="A3:K12"/>
    </sheetView>
  </sheetViews>
  <sheetFormatPr baseColWidth="10" defaultRowHeight="14.4" x14ac:dyDescent="0.3"/>
  <cols>
    <col min="1" max="1" width="25.88671875" bestFit="1" customWidth="1"/>
    <col min="2" max="2" width="40.44140625" bestFit="1" customWidth="1"/>
    <col min="3" max="3" width="13.88671875" bestFit="1" customWidth="1"/>
    <col min="4" max="4" width="19" bestFit="1" customWidth="1"/>
    <col min="5" max="5" width="31.77734375" bestFit="1" customWidth="1"/>
    <col min="6" max="6" width="19" bestFit="1" customWidth="1"/>
    <col min="7" max="7" width="38.44140625" bestFit="1" customWidth="1"/>
    <col min="8" max="8" width="40.109375" bestFit="1" customWidth="1"/>
    <col min="9" max="9" width="19.21875" bestFit="1" customWidth="1"/>
    <col min="10" max="10" width="61.554687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160</v>
      </c>
      <c r="B3" t="s">
        <v>68</v>
      </c>
      <c r="C3" t="s">
        <v>24</v>
      </c>
      <c r="D3" t="s">
        <v>49</v>
      </c>
      <c r="E3" t="s">
        <v>161</v>
      </c>
      <c r="F3" t="s">
        <v>27</v>
      </c>
      <c r="G3" t="s">
        <v>162</v>
      </c>
      <c r="H3" t="s">
        <v>163</v>
      </c>
      <c r="I3" t="s">
        <v>52</v>
      </c>
      <c r="J3" t="s">
        <v>164</v>
      </c>
      <c r="K3" t="s">
        <v>52</v>
      </c>
    </row>
    <row r="4" spans="1:11" x14ac:dyDescent="0.3">
      <c r="A4" t="s">
        <v>165</v>
      </c>
      <c r="B4" t="s">
        <v>68</v>
      </c>
      <c r="C4" t="s">
        <v>24</v>
      </c>
      <c r="D4" t="s">
        <v>62</v>
      </c>
      <c r="E4" t="s">
        <v>134</v>
      </c>
      <c r="F4" t="s">
        <v>27</v>
      </c>
      <c r="G4" t="s">
        <v>135</v>
      </c>
      <c r="H4" t="s">
        <v>136</v>
      </c>
      <c r="I4" t="s">
        <v>52</v>
      </c>
      <c r="J4" t="s">
        <v>166</v>
      </c>
      <c r="K4" t="s">
        <v>52</v>
      </c>
    </row>
    <row r="5" spans="1:11" x14ac:dyDescent="0.3">
      <c r="A5" t="s">
        <v>167</v>
      </c>
      <c r="B5" t="s">
        <v>168</v>
      </c>
      <c r="C5" t="s">
        <v>24</v>
      </c>
      <c r="D5" t="s">
        <v>35</v>
      </c>
      <c r="E5" t="s">
        <v>122</v>
      </c>
      <c r="F5" t="s">
        <v>27</v>
      </c>
      <c r="G5" t="s">
        <v>123</v>
      </c>
      <c r="H5" t="s">
        <v>169</v>
      </c>
      <c r="I5" t="s">
        <v>52</v>
      </c>
      <c r="J5" t="s">
        <v>170</v>
      </c>
      <c r="K5" t="s">
        <v>52</v>
      </c>
    </row>
    <row r="6" spans="1:11" x14ac:dyDescent="0.3">
      <c r="A6" t="s">
        <v>171</v>
      </c>
      <c r="B6" t="s">
        <v>68</v>
      </c>
      <c r="C6" t="s">
        <v>24</v>
      </c>
      <c r="D6" t="s">
        <v>35</v>
      </c>
      <c r="E6" t="s">
        <v>172</v>
      </c>
      <c r="F6" t="s">
        <v>173</v>
      </c>
      <c r="G6" t="s">
        <v>174</v>
      </c>
      <c r="H6" t="s">
        <v>175</v>
      </c>
      <c r="I6" t="s">
        <v>52</v>
      </c>
      <c r="J6" t="s">
        <v>176</v>
      </c>
      <c r="K6" t="s">
        <v>52</v>
      </c>
    </row>
    <row r="7" spans="1:11" x14ac:dyDescent="0.3">
      <c r="A7" t="s">
        <v>177</v>
      </c>
      <c r="B7" t="s">
        <v>178</v>
      </c>
      <c r="C7" t="s">
        <v>24</v>
      </c>
      <c r="D7" t="s">
        <v>35</v>
      </c>
      <c r="E7" t="s">
        <v>179</v>
      </c>
      <c r="F7" t="s">
        <v>27</v>
      </c>
      <c r="G7" t="s">
        <v>180</v>
      </c>
      <c r="H7" t="s">
        <v>181</v>
      </c>
      <c r="I7" t="s">
        <v>52</v>
      </c>
      <c r="J7" t="s">
        <v>182</v>
      </c>
      <c r="K7" t="s">
        <v>52</v>
      </c>
    </row>
    <row r="8" spans="1:11" x14ac:dyDescent="0.3">
      <c r="A8" t="s">
        <v>183</v>
      </c>
      <c r="B8" t="s">
        <v>68</v>
      </c>
      <c r="C8" t="s">
        <v>24</v>
      </c>
      <c r="D8" t="s">
        <v>49</v>
      </c>
      <c r="E8" t="s">
        <v>184</v>
      </c>
      <c r="F8" t="s">
        <v>185</v>
      </c>
      <c r="G8" t="s">
        <v>186</v>
      </c>
      <c r="H8" t="s">
        <v>187</v>
      </c>
      <c r="I8" t="s">
        <v>52</v>
      </c>
      <c r="J8" t="s">
        <v>188</v>
      </c>
      <c r="K8" t="s">
        <v>52</v>
      </c>
    </row>
    <row r="9" spans="1:11" x14ac:dyDescent="0.3">
      <c r="A9" t="s">
        <v>189</v>
      </c>
      <c r="B9" t="s">
        <v>68</v>
      </c>
      <c r="C9" t="s">
        <v>24</v>
      </c>
      <c r="D9" t="s">
        <v>49</v>
      </c>
      <c r="E9" t="s">
        <v>190</v>
      </c>
      <c r="F9" t="s">
        <v>27</v>
      </c>
      <c r="G9" t="s">
        <v>191</v>
      </c>
      <c r="H9" t="s">
        <v>192</v>
      </c>
      <c r="I9" t="s">
        <v>52</v>
      </c>
      <c r="J9" t="s">
        <v>193</v>
      </c>
      <c r="K9" t="s">
        <v>52</v>
      </c>
    </row>
    <row r="10" spans="1:11" x14ac:dyDescent="0.3">
      <c r="A10" t="s">
        <v>194</v>
      </c>
      <c r="B10" t="s">
        <v>68</v>
      </c>
      <c r="C10" t="s">
        <v>24</v>
      </c>
      <c r="D10" t="s">
        <v>49</v>
      </c>
      <c r="E10" t="s">
        <v>195</v>
      </c>
      <c r="F10" t="s">
        <v>27</v>
      </c>
      <c r="G10" t="s">
        <v>196</v>
      </c>
      <c r="H10" t="s">
        <v>197</v>
      </c>
      <c r="I10" t="s">
        <v>52</v>
      </c>
      <c r="J10" t="s">
        <v>198</v>
      </c>
      <c r="K10" t="s">
        <v>52</v>
      </c>
    </row>
    <row r="11" spans="1:11" x14ac:dyDescent="0.3">
      <c r="A11" t="s">
        <v>199</v>
      </c>
      <c r="B11" t="s">
        <v>68</v>
      </c>
      <c r="C11" t="s">
        <v>24</v>
      </c>
      <c r="D11" t="s">
        <v>35</v>
      </c>
      <c r="E11" t="s">
        <v>200</v>
      </c>
      <c r="F11" t="s">
        <v>70</v>
      </c>
      <c r="G11" t="s">
        <v>201</v>
      </c>
      <c r="H11" t="s">
        <v>202</v>
      </c>
      <c r="I11" t="s">
        <v>52</v>
      </c>
      <c r="J11" t="s">
        <v>203</v>
      </c>
      <c r="K11" t="s">
        <v>52</v>
      </c>
    </row>
    <row r="12" spans="1:11" x14ac:dyDescent="0.3">
      <c r="A12" t="s">
        <v>204</v>
      </c>
      <c r="B12" t="s">
        <v>90</v>
      </c>
      <c r="C12" t="s">
        <v>91</v>
      </c>
      <c r="D12" t="s">
        <v>35</v>
      </c>
      <c r="E12" t="s">
        <v>205</v>
      </c>
      <c r="F12" t="s">
        <v>70</v>
      </c>
      <c r="G12" t="s">
        <v>206</v>
      </c>
      <c r="H12" t="s">
        <v>207</v>
      </c>
      <c r="I12" t="s">
        <v>52</v>
      </c>
      <c r="J12" t="s">
        <v>208</v>
      </c>
      <c r="K12" t="s">
        <v>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38BB-C579-4BD7-86FA-D2818B73CB43}">
  <dimension ref="A1:K16"/>
  <sheetViews>
    <sheetView topLeftCell="H1" workbookViewId="0">
      <selection activeCell="A3" sqref="A3:K16"/>
    </sheetView>
  </sheetViews>
  <sheetFormatPr baseColWidth="10" defaultRowHeight="14.4" x14ac:dyDescent="0.3"/>
  <cols>
    <col min="1" max="1" width="25.88671875" bestFit="1" customWidth="1"/>
    <col min="2" max="2" width="42.77734375" bestFit="1" customWidth="1"/>
    <col min="3" max="3" width="13.88671875" bestFit="1" customWidth="1"/>
    <col min="4" max="4" width="19" bestFit="1" customWidth="1"/>
    <col min="5" max="5" width="34.77734375" bestFit="1" customWidth="1"/>
    <col min="6" max="6" width="14.21875" bestFit="1" customWidth="1"/>
    <col min="7" max="7" width="35.5546875" bestFit="1" customWidth="1"/>
    <col min="8" max="8" width="36" bestFit="1" customWidth="1"/>
    <col min="9" max="9" width="19.21875" bestFit="1" customWidth="1"/>
    <col min="10" max="10" width="63.886718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100</v>
      </c>
      <c r="B3" t="s">
        <v>68</v>
      </c>
      <c r="C3" t="s">
        <v>24</v>
      </c>
      <c r="D3" t="s">
        <v>35</v>
      </c>
      <c r="E3" t="s">
        <v>101</v>
      </c>
      <c r="F3" t="s">
        <v>27</v>
      </c>
      <c r="G3" t="s">
        <v>102</v>
      </c>
      <c r="H3" t="s">
        <v>103</v>
      </c>
      <c r="I3" t="s">
        <v>52</v>
      </c>
      <c r="J3" t="s">
        <v>104</v>
      </c>
      <c r="K3" t="s">
        <v>52</v>
      </c>
    </row>
    <row r="4" spans="1:11" x14ac:dyDescent="0.3">
      <c r="A4" t="s">
        <v>100</v>
      </c>
      <c r="B4" t="s">
        <v>68</v>
      </c>
      <c r="C4" t="s">
        <v>24</v>
      </c>
      <c r="D4" t="s">
        <v>35</v>
      </c>
      <c r="E4" t="s">
        <v>101</v>
      </c>
      <c r="F4" t="s">
        <v>27</v>
      </c>
      <c r="G4" t="s">
        <v>102</v>
      </c>
      <c r="H4" t="s">
        <v>105</v>
      </c>
      <c r="I4" t="s">
        <v>52</v>
      </c>
      <c r="J4" t="s">
        <v>104</v>
      </c>
      <c r="K4" t="s">
        <v>52</v>
      </c>
    </row>
    <row r="5" spans="1:11" x14ac:dyDescent="0.3">
      <c r="A5" t="s">
        <v>106</v>
      </c>
      <c r="B5" t="s">
        <v>68</v>
      </c>
      <c r="C5" t="s">
        <v>24</v>
      </c>
      <c r="D5" t="s">
        <v>49</v>
      </c>
      <c r="E5" t="s">
        <v>107</v>
      </c>
      <c r="F5" t="s">
        <v>27</v>
      </c>
      <c r="G5" t="s">
        <v>108</v>
      </c>
      <c r="H5" t="s">
        <v>109</v>
      </c>
      <c r="I5" t="s">
        <v>110</v>
      </c>
      <c r="J5" t="s">
        <v>111</v>
      </c>
      <c r="K5" t="s">
        <v>52</v>
      </c>
    </row>
    <row r="6" spans="1:11" x14ac:dyDescent="0.3">
      <c r="A6" t="s">
        <v>106</v>
      </c>
      <c r="B6" t="s">
        <v>68</v>
      </c>
      <c r="C6" t="s">
        <v>24</v>
      </c>
      <c r="D6" t="s">
        <v>49</v>
      </c>
      <c r="E6" t="s">
        <v>112</v>
      </c>
      <c r="F6" t="s">
        <v>27</v>
      </c>
      <c r="G6" t="s">
        <v>113</v>
      </c>
      <c r="H6" t="s">
        <v>114</v>
      </c>
      <c r="I6" t="s">
        <v>52</v>
      </c>
      <c r="J6" t="s">
        <v>111</v>
      </c>
      <c r="K6" t="s">
        <v>52</v>
      </c>
    </row>
    <row r="7" spans="1:11" x14ac:dyDescent="0.3">
      <c r="A7" t="s">
        <v>115</v>
      </c>
      <c r="B7" t="s">
        <v>90</v>
      </c>
      <c r="C7" t="s">
        <v>91</v>
      </c>
      <c r="D7" t="s">
        <v>35</v>
      </c>
      <c r="E7" t="s">
        <v>116</v>
      </c>
      <c r="F7" t="s">
        <v>27</v>
      </c>
      <c r="G7" t="s">
        <v>117</v>
      </c>
      <c r="H7" t="s">
        <v>118</v>
      </c>
      <c r="I7" t="s">
        <v>52</v>
      </c>
      <c r="J7" t="s">
        <v>119</v>
      </c>
      <c r="K7" t="s">
        <v>120</v>
      </c>
    </row>
    <row r="8" spans="1:11" x14ac:dyDescent="0.3">
      <c r="A8" t="s">
        <v>121</v>
      </c>
      <c r="B8" t="s">
        <v>68</v>
      </c>
      <c r="C8" t="s">
        <v>24</v>
      </c>
      <c r="D8" t="s">
        <v>35</v>
      </c>
      <c r="E8" t="s">
        <v>122</v>
      </c>
      <c r="F8" t="s">
        <v>27</v>
      </c>
      <c r="G8" t="s">
        <v>123</v>
      </c>
      <c r="H8" t="s">
        <v>124</v>
      </c>
      <c r="I8" t="s">
        <v>52</v>
      </c>
      <c r="J8" t="s">
        <v>125</v>
      </c>
      <c r="K8" t="s">
        <v>52</v>
      </c>
    </row>
    <row r="9" spans="1:11" x14ac:dyDescent="0.3">
      <c r="A9" t="s">
        <v>121</v>
      </c>
      <c r="B9" t="s">
        <v>68</v>
      </c>
      <c r="C9" t="s">
        <v>24</v>
      </c>
      <c r="D9" t="s">
        <v>35</v>
      </c>
      <c r="E9" t="s">
        <v>126</v>
      </c>
      <c r="F9" t="s">
        <v>27</v>
      </c>
      <c r="G9" t="s">
        <v>123</v>
      </c>
      <c r="H9" t="s">
        <v>127</v>
      </c>
      <c r="I9" t="s">
        <v>52</v>
      </c>
      <c r="J9" t="s">
        <v>125</v>
      </c>
      <c r="K9" t="s">
        <v>52</v>
      </c>
    </row>
    <row r="10" spans="1:11" x14ac:dyDescent="0.3">
      <c r="A10" t="s">
        <v>128</v>
      </c>
      <c r="B10" t="s">
        <v>129</v>
      </c>
      <c r="C10" t="s">
        <v>85</v>
      </c>
      <c r="D10" t="s">
        <v>49</v>
      </c>
      <c r="E10" t="s">
        <v>130</v>
      </c>
      <c r="F10" t="s">
        <v>27</v>
      </c>
      <c r="G10" t="s">
        <v>131</v>
      </c>
      <c r="H10" t="s">
        <v>52</v>
      </c>
      <c r="I10" t="s">
        <v>52</v>
      </c>
      <c r="J10" t="s">
        <v>132</v>
      </c>
      <c r="K10" t="s">
        <v>52</v>
      </c>
    </row>
    <row r="11" spans="1:11" x14ac:dyDescent="0.3">
      <c r="A11" t="s">
        <v>133</v>
      </c>
      <c r="B11" t="s">
        <v>68</v>
      </c>
      <c r="C11" t="s">
        <v>24</v>
      </c>
      <c r="D11" t="s">
        <v>62</v>
      </c>
      <c r="E11" t="s">
        <v>134</v>
      </c>
      <c r="F11" t="s">
        <v>27</v>
      </c>
      <c r="G11" t="s">
        <v>135</v>
      </c>
      <c r="H11" t="s">
        <v>136</v>
      </c>
      <c r="I11" t="s">
        <v>52</v>
      </c>
      <c r="J11" t="s">
        <v>137</v>
      </c>
      <c r="K11" t="s">
        <v>52</v>
      </c>
    </row>
    <row r="12" spans="1:11" x14ac:dyDescent="0.3">
      <c r="A12" t="s">
        <v>138</v>
      </c>
      <c r="B12" t="s">
        <v>68</v>
      </c>
      <c r="C12" t="s">
        <v>24</v>
      </c>
      <c r="D12" t="s">
        <v>35</v>
      </c>
      <c r="E12" t="s">
        <v>139</v>
      </c>
      <c r="F12" t="s">
        <v>27</v>
      </c>
      <c r="G12" t="s">
        <v>140</v>
      </c>
      <c r="H12" t="s">
        <v>141</v>
      </c>
      <c r="I12" t="s">
        <v>52</v>
      </c>
      <c r="J12" t="s">
        <v>142</v>
      </c>
      <c r="K12" t="s">
        <v>52</v>
      </c>
    </row>
    <row r="13" spans="1:11" x14ac:dyDescent="0.3">
      <c r="A13" t="s">
        <v>143</v>
      </c>
      <c r="B13" t="s">
        <v>144</v>
      </c>
      <c r="C13" t="s">
        <v>24</v>
      </c>
      <c r="D13" t="s">
        <v>49</v>
      </c>
      <c r="E13" t="s">
        <v>145</v>
      </c>
      <c r="F13" t="s">
        <v>27</v>
      </c>
      <c r="G13" t="s">
        <v>146</v>
      </c>
      <c r="H13" t="s">
        <v>147</v>
      </c>
      <c r="I13" t="s">
        <v>52</v>
      </c>
      <c r="J13" t="s">
        <v>52</v>
      </c>
      <c r="K13" t="s">
        <v>52</v>
      </c>
    </row>
    <row r="14" spans="1:11" x14ac:dyDescent="0.3">
      <c r="A14" t="s">
        <v>148</v>
      </c>
      <c r="B14" t="s">
        <v>68</v>
      </c>
      <c r="C14" t="s">
        <v>24</v>
      </c>
      <c r="D14" t="s">
        <v>35</v>
      </c>
      <c r="E14" t="s">
        <v>122</v>
      </c>
      <c r="F14" t="s">
        <v>27</v>
      </c>
      <c r="G14" t="s">
        <v>123</v>
      </c>
      <c r="H14" t="s">
        <v>149</v>
      </c>
      <c r="I14" t="s">
        <v>150</v>
      </c>
      <c r="J14" t="s">
        <v>151</v>
      </c>
      <c r="K14" t="s">
        <v>52</v>
      </c>
    </row>
    <row r="15" spans="1:11" x14ac:dyDescent="0.3">
      <c r="A15" t="s">
        <v>152</v>
      </c>
      <c r="B15" t="s">
        <v>68</v>
      </c>
      <c r="C15" t="s">
        <v>24</v>
      </c>
      <c r="D15" t="s">
        <v>35</v>
      </c>
      <c r="E15" t="s">
        <v>153</v>
      </c>
      <c r="F15" t="s">
        <v>27</v>
      </c>
      <c r="G15" t="s">
        <v>154</v>
      </c>
      <c r="H15" t="s">
        <v>155</v>
      </c>
      <c r="I15" t="s">
        <v>52</v>
      </c>
      <c r="J15" t="s">
        <v>156</v>
      </c>
      <c r="K15" t="s">
        <v>157</v>
      </c>
    </row>
    <row r="16" spans="1:11" x14ac:dyDescent="0.3">
      <c r="A16" t="s">
        <v>152</v>
      </c>
      <c r="B16" t="s">
        <v>68</v>
      </c>
      <c r="C16" t="s">
        <v>24</v>
      </c>
      <c r="D16" t="s">
        <v>35</v>
      </c>
      <c r="E16" t="s">
        <v>158</v>
      </c>
      <c r="F16" t="s">
        <v>27</v>
      </c>
      <c r="G16" t="s">
        <v>159</v>
      </c>
      <c r="H16" t="s">
        <v>118</v>
      </c>
      <c r="I16" t="s">
        <v>52</v>
      </c>
      <c r="J16" t="s">
        <v>156</v>
      </c>
      <c r="K16" t="s">
        <v>120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7BCC-B9C0-42A9-BC9B-25FB5107ED82}">
  <dimension ref="A1:K14"/>
  <sheetViews>
    <sheetView workbookViewId="0">
      <selection activeCell="A14" sqref="A14"/>
    </sheetView>
  </sheetViews>
  <sheetFormatPr baseColWidth="10" defaultRowHeight="14.4" x14ac:dyDescent="0.3"/>
  <cols>
    <col min="1" max="1" width="25.88671875" bestFit="1" customWidth="1"/>
    <col min="2" max="2" width="45.109375" bestFit="1" customWidth="1"/>
    <col min="3" max="3" width="13.88671875" bestFit="1" customWidth="1"/>
    <col min="4" max="4" width="19" bestFit="1" customWidth="1"/>
    <col min="5" max="5" width="44" bestFit="1" customWidth="1"/>
    <col min="6" max="6" width="14.21875" bestFit="1" customWidth="1"/>
    <col min="7" max="7" width="53.77734375" bestFit="1" customWidth="1"/>
    <col min="8" max="8" width="50.33203125" bestFit="1" customWidth="1"/>
    <col min="9" max="9" width="19.21875" bestFit="1" customWidth="1"/>
    <col min="10" max="10" width="63.777343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">
      <c r="A4" t="s">
        <v>33</v>
      </c>
      <c r="B4" t="s">
        <v>34</v>
      </c>
      <c r="C4" t="s">
        <v>24</v>
      </c>
      <c r="D4" t="s">
        <v>35</v>
      </c>
      <c r="E4" t="s">
        <v>36</v>
      </c>
      <c r="F4" t="s">
        <v>27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 x14ac:dyDescent="0.3">
      <c r="A5" t="s">
        <v>42</v>
      </c>
      <c r="B5" t="s">
        <v>43</v>
      </c>
      <c r="C5" t="s">
        <v>24</v>
      </c>
      <c r="D5" t="s">
        <v>35</v>
      </c>
      <c r="E5" t="s">
        <v>36</v>
      </c>
      <c r="F5" t="s">
        <v>27</v>
      </c>
      <c r="G5" t="s">
        <v>44</v>
      </c>
      <c r="H5" t="s">
        <v>38</v>
      </c>
      <c r="I5" t="s">
        <v>39</v>
      </c>
      <c r="J5" t="s">
        <v>45</v>
      </c>
      <c r="K5" t="s">
        <v>41</v>
      </c>
    </row>
    <row r="6" spans="1:11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27</v>
      </c>
      <c r="G6" t="s">
        <v>51</v>
      </c>
      <c r="H6" t="s">
        <v>52</v>
      </c>
      <c r="I6" t="s">
        <v>52</v>
      </c>
      <c r="J6" t="s">
        <v>53</v>
      </c>
      <c r="K6" t="s">
        <v>52</v>
      </c>
    </row>
    <row r="7" spans="1:11" x14ac:dyDescent="0.3">
      <c r="A7" t="s">
        <v>54</v>
      </c>
      <c r="B7" t="s">
        <v>55</v>
      </c>
      <c r="C7" t="s">
        <v>24</v>
      </c>
      <c r="D7" t="s">
        <v>49</v>
      </c>
      <c r="E7" t="s">
        <v>56</v>
      </c>
      <c r="F7" t="s">
        <v>27</v>
      </c>
      <c r="G7" t="s">
        <v>57</v>
      </c>
      <c r="H7" t="s">
        <v>58</v>
      </c>
      <c r="I7" t="s">
        <v>52</v>
      </c>
      <c r="J7" t="s">
        <v>59</v>
      </c>
      <c r="K7" t="s">
        <v>52</v>
      </c>
    </row>
    <row r="8" spans="1:11" x14ac:dyDescent="0.3">
      <c r="A8" t="s">
        <v>60</v>
      </c>
      <c r="B8" t="s">
        <v>61</v>
      </c>
      <c r="C8" t="s">
        <v>24</v>
      </c>
      <c r="D8" t="s">
        <v>62</v>
      </c>
      <c r="E8" t="s">
        <v>63</v>
      </c>
      <c r="F8" t="s">
        <v>27</v>
      </c>
      <c r="G8" t="s">
        <v>64</v>
      </c>
      <c r="H8" t="s">
        <v>65</v>
      </c>
      <c r="I8" t="s">
        <v>52</v>
      </c>
      <c r="J8" t="s">
        <v>66</v>
      </c>
      <c r="K8" t="s">
        <v>52</v>
      </c>
    </row>
    <row r="9" spans="1:11" x14ac:dyDescent="0.3">
      <c r="A9" t="s">
        <v>67</v>
      </c>
      <c r="B9" t="s">
        <v>68</v>
      </c>
      <c r="C9" t="s">
        <v>24</v>
      </c>
      <c r="D9" t="s">
        <v>35</v>
      </c>
      <c r="E9" t="s">
        <v>69</v>
      </c>
      <c r="F9" t="s">
        <v>70</v>
      </c>
      <c r="G9" t="s">
        <v>71</v>
      </c>
      <c r="H9" t="s">
        <v>72</v>
      </c>
      <c r="I9" t="s">
        <v>52</v>
      </c>
      <c r="J9" t="s">
        <v>73</v>
      </c>
      <c r="K9" t="s">
        <v>52</v>
      </c>
    </row>
    <row r="10" spans="1:11" x14ac:dyDescent="0.3">
      <c r="A10" t="s">
        <v>67</v>
      </c>
      <c r="B10" t="s">
        <v>68</v>
      </c>
      <c r="C10" t="s">
        <v>24</v>
      </c>
      <c r="D10" t="s">
        <v>35</v>
      </c>
      <c r="E10" t="s">
        <v>74</v>
      </c>
      <c r="F10" t="s">
        <v>70</v>
      </c>
      <c r="G10" t="s">
        <v>75</v>
      </c>
      <c r="H10" t="s">
        <v>76</v>
      </c>
      <c r="I10" t="s">
        <v>52</v>
      </c>
      <c r="J10" t="s">
        <v>73</v>
      </c>
      <c r="K10" t="s">
        <v>52</v>
      </c>
    </row>
    <row r="11" spans="1:11" x14ac:dyDescent="0.3">
      <c r="A11" t="s">
        <v>77</v>
      </c>
      <c r="B11" t="s">
        <v>78</v>
      </c>
      <c r="C11" t="s">
        <v>24</v>
      </c>
      <c r="D11" t="s">
        <v>25</v>
      </c>
      <c r="E11" t="s">
        <v>79</v>
      </c>
      <c r="F11" t="s">
        <v>27</v>
      </c>
      <c r="G11" t="s">
        <v>80</v>
      </c>
      <c r="H11" t="s">
        <v>81</v>
      </c>
      <c r="I11" t="s">
        <v>52</v>
      </c>
      <c r="J11" t="s">
        <v>82</v>
      </c>
      <c r="K11" t="s">
        <v>52</v>
      </c>
    </row>
    <row r="12" spans="1:11" x14ac:dyDescent="0.3">
      <c r="A12" t="s">
        <v>83</v>
      </c>
      <c r="B12" t="s">
        <v>84</v>
      </c>
      <c r="C12" t="s">
        <v>85</v>
      </c>
      <c r="D12" t="s">
        <v>52</v>
      </c>
      <c r="E12" t="s">
        <v>86</v>
      </c>
      <c r="F12" t="s">
        <v>27</v>
      </c>
      <c r="G12" t="s">
        <v>87</v>
      </c>
      <c r="H12" t="s">
        <v>52</v>
      </c>
      <c r="I12" t="s">
        <v>52</v>
      </c>
      <c r="J12" t="s">
        <v>88</v>
      </c>
      <c r="K12" t="s">
        <v>52</v>
      </c>
    </row>
    <row r="13" spans="1:11" x14ac:dyDescent="0.3">
      <c r="A13" t="s">
        <v>89</v>
      </c>
      <c r="B13" t="s">
        <v>90</v>
      </c>
      <c r="C13" t="s">
        <v>91</v>
      </c>
      <c r="D13" t="s">
        <v>35</v>
      </c>
      <c r="E13" t="s">
        <v>92</v>
      </c>
      <c r="F13" t="s">
        <v>70</v>
      </c>
      <c r="G13" t="s">
        <v>93</v>
      </c>
      <c r="H13" t="s">
        <v>94</v>
      </c>
      <c r="I13" t="s">
        <v>52</v>
      </c>
      <c r="J13" t="s">
        <v>95</v>
      </c>
      <c r="K13" t="s">
        <v>52</v>
      </c>
    </row>
    <row r="14" spans="1:11" x14ac:dyDescent="0.3">
      <c r="A14" t="s">
        <v>89</v>
      </c>
      <c r="B14" t="s">
        <v>90</v>
      </c>
      <c r="C14" t="s">
        <v>91</v>
      </c>
      <c r="D14" t="s">
        <v>35</v>
      </c>
      <c r="E14" t="s">
        <v>96</v>
      </c>
      <c r="F14" t="s">
        <v>70</v>
      </c>
      <c r="G14" t="s">
        <v>97</v>
      </c>
      <c r="H14" t="s">
        <v>98</v>
      </c>
      <c r="I14" t="s">
        <v>52</v>
      </c>
      <c r="J14" t="s">
        <v>95</v>
      </c>
      <c r="K14" t="s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B5B89E-901C-482C-B3D5-57DB3B2154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Directorio</vt:lpstr>
      <vt:lpstr>JHers</vt:lpstr>
      <vt:lpstr>JH_Lote7</vt:lpstr>
      <vt:lpstr>JH_Lote6</vt:lpstr>
      <vt:lpstr>JH_Lote5</vt:lpstr>
      <vt:lpstr>JH_lote4</vt:lpstr>
      <vt:lpstr>JH_lote3</vt:lpstr>
      <vt:lpstr>JH_lote2</vt:lpstr>
      <vt:lpstr>JH_Lote1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E.</dc:creator>
  <cp:lastModifiedBy>Jose E.</cp:lastModifiedBy>
  <dcterms:created xsi:type="dcterms:W3CDTF">2026-06-08T08:11:46Z</dcterms:created>
  <dcterms:modified xsi:type="dcterms:W3CDTF">2026-06-08T09:53:45Z</dcterms:modified>
</cp:coreProperties>
</file>